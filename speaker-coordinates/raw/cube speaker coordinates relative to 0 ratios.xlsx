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All Speakers Bottom of Inner Tr" sheetId="1" state="visible" r:id="rId3"/>
    <sheet name="All Speakers Bottom of Inner -1" sheetId="2" state="visible" r:id="rId4"/>
    <sheet name="All Speakers Bottom of Inner -2" sheetId="3" state="visible" r:id="rId5"/>
    <sheet name="All Speakers Flown Inner Truss 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<sst xmlns="http://schemas.openxmlformats.org/spreadsheetml/2006/main" count="648" uniqueCount="161">
  <si>
    <t xml:space="preserve">Origin is center:</t>
  </si>
  <si>
    <t xml:space="preserve">In Inches</t>
  </si>
  <si>
    <t xml:space="preserve">x</t>
  </si>
  <si>
    <t xml:space="preserve">y</t>
  </si>
  <si>
    <t xml:space="preserve">z</t>
  </si>
  <si>
    <t xml:space="preserve">Relative</t>
  </si>
  <si>
    <t xml:space="preserve">Yaw in Degrees</t>
  </si>
  <si>
    <t xml:space="preserve">Pitch in Degrees</t>
  </si>
  <si>
    <t xml:space="preserve">Distance</t>
  </si>
  <si>
    <t xml:space="preserve">Pitch in Rad</t>
  </si>
  <si>
    <t xml:space="preserve">Catwalk 2</t>
  </si>
  <si>
    <t xml:space="preserve">SPK 001</t>
  </si>
  <si>
    <t xml:space="preserve">SPK 002</t>
  </si>
  <si>
    <t xml:space="preserve">SPK 003</t>
  </si>
  <si>
    <t xml:space="preserve">SPK 004</t>
  </si>
  <si>
    <t xml:space="preserve">SPK 005</t>
  </si>
  <si>
    <t xml:space="preserve">SPK 006</t>
  </si>
  <si>
    <t xml:space="preserve">SPK 007</t>
  </si>
  <si>
    <t xml:space="preserve">SPK 008</t>
  </si>
  <si>
    <t xml:space="preserve">SPK 009</t>
  </si>
  <si>
    <t xml:space="preserve">SPK 010</t>
  </si>
  <si>
    <t xml:space="preserve">SPK 011</t>
  </si>
  <si>
    <t xml:space="preserve">SPK 012</t>
  </si>
  <si>
    <t xml:space="preserve">SPK 013</t>
  </si>
  <si>
    <t xml:space="preserve">SPK 014</t>
  </si>
  <si>
    <t xml:space="preserve">SPK 015</t>
  </si>
  <si>
    <t xml:space="preserve">SPK 016</t>
  </si>
  <si>
    <t xml:space="preserve">SPK 017</t>
  </si>
  <si>
    <t xml:space="preserve">SPK 018</t>
  </si>
  <si>
    <t xml:space="preserve">SPK 019</t>
  </si>
  <si>
    <t xml:space="preserve">SPK 020</t>
  </si>
  <si>
    <t xml:space="preserve">SPK 021</t>
  </si>
  <si>
    <t xml:space="preserve">SPK 022</t>
  </si>
  <si>
    <t xml:space="preserve">SPK 023</t>
  </si>
  <si>
    <t xml:space="preserve">SPK 024</t>
  </si>
  <si>
    <t xml:space="preserve">SPK 025</t>
  </si>
  <si>
    <t xml:space="preserve">SPK 026</t>
  </si>
  <si>
    <t xml:space="preserve">SPK 027</t>
  </si>
  <si>
    <t xml:space="preserve">SPK 028</t>
  </si>
  <si>
    <t xml:space="preserve">SPK 029</t>
  </si>
  <si>
    <t xml:space="preserve">SPK 030</t>
  </si>
  <si>
    <t xml:space="preserve">SPK 031</t>
  </si>
  <si>
    <t xml:space="preserve">SPK 032</t>
  </si>
  <si>
    <t xml:space="preserve">SPK 033</t>
  </si>
  <si>
    <t xml:space="preserve">SPK 034</t>
  </si>
  <si>
    <t xml:space="preserve">SPK 035</t>
  </si>
  <si>
    <t xml:space="preserve">SPK 036</t>
  </si>
  <si>
    <t xml:space="preserve">SPK 037</t>
  </si>
  <si>
    <t xml:space="preserve">SPK 038</t>
  </si>
  <si>
    <t xml:space="preserve">SPK 039</t>
  </si>
  <si>
    <t xml:space="preserve">SPK 040</t>
  </si>
  <si>
    <t xml:space="preserve">SPK 041</t>
  </si>
  <si>
    <t xml:space="preserve">SPK 042</t>
  </si>
  <si>
    <t xml:space="preserve">SPK 043</t>
  </si>
  <si>
    <t xml:space="preserve">SPK 044</t>
  </si>
  <si>
    <t xml:space="preserve">SPK 045</t>
  </si>
  <si>
    <t xml:space="preserve">SPK 046</t>
  </si>
  <si>
    <t xml:space="preserve">SPK 047</t>
  </si>
  <si>
    <t xml:space="preserve">SPK 048</t>
  </si>
  <si>
    <t xml:space="preserve">SPK 049</t>
  </si>
  <si>
    <t xml:space="preserve">SPK 050</t>
  </si>
  <si>
    <t xml:space="preserve">SPK 051</t>
  </si>
  <si>
    <t xml:space="preserve">SPK 052</t>
  </si>
  <si>
    <t xml:space="preserve">SPK 053</t>
  </si>
  <si>
    <t xml:space="preserve">SPK 054</t>
  </si>
  <si>
    <t xml:space="preserve">SPK 055</t>
  </si>
  <si>
    <t xml:space="preserve">SPK 056</t>
  </si>
  <si>
    <t xml:space="preserve">SPK 057</t>
  </si>
  <si>
    <t xml:space="preserve">SPK 058</t>
  </si>
  <si>
    <t xml:space="preserve">SPK 059</t>
  </si>
  <si>
    <t xml:space="preserve">SPK 060</t>
  </si>
  <si>
    <t xml:space="preserve">SPK 061</t>
  </si>
  <si>
    <t xml:space="preserve">SPK 062</t>
  </si>
  <si>
    <t xml:space="preserve">SPK 063</t>
  </si>
  <si>
    <t xml:space="preserve">SPK 064</t>
  </si>
  <si>
    <t xml:space="preserve">Catwalk 3</t>
  </si>
  <si>
    <t xml:space="preserve">SPK 065</t>
  </si>
  <si>
    <t xml:space="preserve">SPK 066</t>
  </si>
  <si>
    <t xml:space="preserve">SPK 067</t>
  </si>
  <si>
    <t xml:space="preserve">SPK 068</t>
  </si>
  <si>
    <t xml:space="preserve">SPK 069</t>
  </si>
  <si>
    <t xml:space="preserve">SPK 070</t>
  </si>
  <si>
    <t xml:space="preserve">SPK 071</t>
  </si>
  <si>
    <t xml:space="preserve">SPK 072</t>
  </si>
  <si>
    <t xml:space="preserve">SPK 073</t>
  </si>
  <si>
    <t xml:space="preserve">SPK 074</t>
  </si>
  <si>
    <t xml:space="preserve">SPK 075</t>
  </si>
  <si>
    <t xml:space="preserve">SPK 076</t>
  </si>
  <si>
    <t xml:space="preserve">SPK 077</t>
  </si>
  <si>
    <t xml:space="preserve">SPK 078</t>
  </si>
  <si>
    <t xml:space="preserve">SPK 079</t>
  </si>
  <si>
    <t xml:space="preserve">SPK 080</t>
  </si>
  <si>
    <t xml:space="preserve">SPK 081</t>
  </si>
  <si>
    <t xml:space="preserve">SPK 082</t>
  </si>
  <si>
    <t xml:space="preserve">SPK 083</t>
  </si>
  <si>
    <t xml:space="preserve">SPK 084</t>
  </si>
  <si>
    <t xml:space="preserve">Catwalk 4</t>
  </si>
  <si>
    <t xml:space="preserve">SPK 085</t>
  </si>
  <si>
    <t xml:space="preserve">SPK 086</t>
  </si>
  <si>
    <t xml:space="preserve">SPK 087</t>
  </si>
  <si>
    <t xml:space="preserve">SPK 088</t>
  </si>
  <si>
    <t xml:space="preserve">SPK 089</t>
  </si>
  <si>
    <t xml:space="preserve">SPK 090</t>
  </si>
  <si>
    <t xml:space="preserve">SPK 091</t>
  </si>
  <si>
    <t xml:space="preserve">SPK 092</t>
  </si>
  <si>
    <t xml:space="preserve">SPK 093</t>
  </si>
  <si>
    <t xml:space="preserve">SPK 094</t>
  </si>
  <si>
    <t xml:space="preserve">SPK 095</t>
  </si>
  <si>
    <t xml:space="preserve">SPK 096</t>
  </si>
  <si>
    <t xml:space="preserve">SPK 097</t>
  </si>
  <si>
    <t xml:space="preserve">SPK 098</t>
  </si>
  <si>
    <t xml:space="preserve">SPK 099</t>
  </si>
  <si>
    <t xml:space="preserve">SPK 100</t>
  </si>
  <si>
    <t xml:space="preserve">SPK 101</t>
  </si>
  <si>
    <t xml:space="preserve">SPK 102</t>
  </si>
  <si>
    <t xml:space="preserve">SPK 103</t>
  </si>
  <si>
    <t xml:space="preserve">SPK 104</t>
  </si>
  <si>
    <t xml:space="preserve">Grid</t>
  </si>
  <si>
    <t xml:space="preserve">SPK 105</t>
  </si>
  <si>
    <t xml:space="preserve">SPK 106</t>
  </si>
  <si>
    <t xml:space="preserve">SPK 107</t>
  </si>
  <si>
    <t xml:space="preserve">SPK 108</t>
  </si>
  <si>
    <t xml:space="preserve">SPK 109</t>
  </si>
  <si>
    <t xml:space="preserve">SPK 110</t>
  </si>
  <si>
    <t xml:space="preserve">SPK 111</t>
  </si>
  <si>
    <t xml:space="preserve">SPK 112</t>
  </si>
  <si>
    <t xml:space="preserve">SPK 113</t>
  </si>
  <si>
    <t xml:space="preserve">SPK 114</t>
  </si>
  <si>
    <t xml:space="preserve">SPK 115</t>
  </si>
  <si>
    <t xml:space="preserve">SPK 116</t>
  </si>
  <si>
    <t xml:space="preserve">SPK 117</t>
  </si>
  <si>
    <t xml:space="preserve">SPK 118</t>
  </si>
  <si>
    <t xml:space="preserve">SPK 119</t>
  </si>
  <si>
    <t xml:space="preserve">SPK 120</t>
  </si>
  <si>
    <t xml:space="preserve">SPK 121</t>
  </si>
  <si>
    <t xml:space="preserve">SPK 122</t>
  </si>
  <si>
    <t xml:space="preserve">SPK 123</t>
  </si>
  <si>
    <t xml:space="preserve">SPK 124</t>
  </si>
  <si>
    <t xml:space="preserve">Stage</t>
  </si>
  <si>
    <t xml:space="preserve">SPK 129</t>
  </si>
  <si>
    <t xml:space="preserve">SPK 130</t>
  </si>
  <si>
    <t xml:space="preserve">SPK 131</t>
  </si>
  <si>
    <t xml:space="preserve">SPK 132</t>
  </si>
  <si>
    <t xml:space="preserve">SPK 133</t>
  </si>
  <si>
    <t xml:space="preserve">SPK 134</t>
  </si>
  <si>
    <t xml:space="preserve">SPK 135</t>
  </si>
  <si>
    <t xml:space="preserve">SPK 136</t>
  </si>
  <si>
    <t xml:space="preserve">SPK 137</t>
  </si>
  <si>
    <t xml:space="preserve">SPK 138</t>
  </si>
  <si>
    <t xml:space="preserve">LFE Sub</t>
  </si>
  <si>
    <t xml:space="preserve">SPK 139</t>
  </si>
  <si>
    <t xml:space="preserve">SPK 140</t>
  </si>
  <si>
    <t xml:space="preserve">Inner Truss</t>
  </si>
  <si>
    <t xml:space="preserve">SPK 141</t>
  </si>
  <si>
    <t xml:space="preserve">SPK 142</t>
  </si>
  <si>
    <t xml:space="preserve">SPK 143</t>
  </si>
  <si>
    <t xml:space="preserve">SPK 144</t>
  </si>
  <si>
    <t xml:space="preserve">SPK 145</t>
  </si>
  <si>
    <t xml:space="preserve">SPK 146</t>
  </si>
  <si>
    <t xml:space="preserve">SPK 147</t>
  </si>
  <si>
    <t xml:space="preserve">SPK 148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</si>
</sst>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0"/>
      <color rgb="FFFF00FF"/>
      <name val="Arial"/>
      <family val="0"/>
      <charset val="1"/>
    </font>
    <font>
      <sz val="10"/>
      <color rgb="FFFF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FF9900"/>
      <name val="Arial"/>
      <family val="0"/>
      <charset val="1"/>
    </font>
    <font>
      <sz val="10"/>
      <color rgb="FF38761D"/>
      <name val="Arial"/>
      <family val="0"/>
      <charset val="1"/>
    </font>
    <font>
      <sz val="10"/>
      <color rgb="FF00FF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38761D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Q1048576"/>
  <sheetViews>
    <sheetView showFormulas="false" showGridLines="true" showRowColHeaders="true" showZeros="true" rightToLeft="false" tabSelected="false" showOutlineSymbols="true" defaultGridColor="true" view="normal" topLeftCell="A135" colorId="64" zoomScale="100" zoomScaleNormal="100" zoomScalePageLayoutView="100" workbookViewId="0">
      <selection pane="topLeft" activeCell="C138" activeCellId="1" sqref="F145 C138"/>
    </sheetView>
  </sheetViews>
  <sheetFormatPr defaultColWidth="12.66796875" defaultRowHeight="15.75" customHeight="true" zeroHeight="false" outlineLevelRow="0" outlineLevelCol="0"/>
  <cols>
    <col collapsed="false" customWidth="true" hidden="false" outlineLevel="0" max="2" min="2" style="0" width="7.67"/>
    <col collapsed="false" customWidth="true" hidden="false" outlineLevel="0" max="3" min="3" style="0" width="5.66"/>
    <col collapsed="false" customWidth="false" hidden="true" outlineLevel="0" max="5" min="5" style="0" width="12.67"/>
    <col collapsed="false" customWidth="true" hidden="false" outlineLevel="0" max="6" min="6" style="0" width="5.16"/>
    <col collapsed="false" customWidth="true" hidden="false" outlineLevel="0" max="7" min="7" style="0" width="28.16"/>
    <col collapsed="false" customWidth="true" hidden="false" outlineLevel="0" max="8" min="8" style="0" width="3.67"/>
    <col collapsed="false" customWidth="true" hidden="false" outlineLevel="0" max="9" min="9" style="0" width="13.16"/>
    <col collapsed="false" customWidth="true" hidden="false" outlineLevel="0" max="10" min="10" style="0" width="14.67"/>
    <col collapsed="false" customWidth="true" hidden="false" outlineLevel="0" max="11" min="11" style="0" width="12.16"/>
    <col collapsed="false" customWidth="true" hidden="false" outlineLevel="0" max="12" min="12" style="0" width="10.66"/>
    <col collapsed="false" customWidth="true" hidden="false" outlineLevel="0" max="13" min="13" style="0" width="12.33"/>
    <col collapsed="false" customWidth="true" hidden="false" outlineLevel="0" max="15" min="14" style="0" width="12.83"/>
  </cols>
  <sheetData>
    <row r="1" customFormat="false" ht="15.75" hidden="false" customHeight="true" outlineLevel="0" collapsed="false">
      <c r="A1" s="0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4</v>
      </c>
      <c r="G1" s="2"/>
      <c r="H1" s="2"/>
      <c r="I1" s="2" t="s">
        <v>5</v>
      </c>
      <c r="M1" s="2" t="s">
        <v>6</v>
      </c>
      <c r="N1" s="2" t="s">
        <v>7</v>
      </c>
      <c r="O1" s="2"/>
      <c r="P1" s="2" t="s">
        <v>8</v>
      </c>
      <c r="Q1" s="2" t="s">
        <v>9</v>
      </c>
    </row>
    <row r="2" customFormat="false" ht="15.75" hidden="false" customHeight="true" outlineLevel="0" collapsed="false">
      <c r="A2" s="3" t="s">
        <v>10</v>
      </c>
      <c r="B2" s="1" t="s">
        <v>11</v>
      </c>
      <c r="C2" s="4" t="n">
        <v>-247.8</v>
      </c>
      <c r="D2" s="1" t="n">
        <v>267.5</v>
      </c>
      <c r="E2" s="1" t="n">
        <v>15</v>
      </c>
      <c r="F2" s="0" t="n">
        <f aca="false">E2+69</f>
        <v>84</v>
      </c>
      <c r="G2" s="2"/>
      <c r="H2" s="2" t="n">
        <v>1</v>
      </c>
      <c r="I2" s="2" t="n">
        <f aca="false">C2/248.3</f>
        <v>-0.99798630688683</v>
      </c>
      <c r="J2" s="2" t="n">
        <f aca="false">D2/315</f>
        <v>0.849206349206349</v>
      </c>
      <c r="K2" s="0" t="n">
        <f aca="false">F2/366</f>
        <v>0.229508196721311</v>
      </c>
      <c r="L2" s="2"/>
      <c r="M2" s="2" t="n">
        <v>1</v>
      </c>
      <c r="N2" s="5" t="n">
        <f aca="false">(Q2/PI())*-180</f>
        <v>-12.9726397934</v>
      </c>
      <c r="O2" s="5"/>
      <c r="P2" s="2" t="n">
        <f aca="false">SQRT(C2^2+D2^2)</f>
        <v>364.638300237372</v>
      </c>
      <c r="Q2" s="2" t="n">
        <f aca="false">ATAN(F2/P2)</f>
        <v>0.226415277070067</v>
      </c>
    </row>
    <row r="3" customFormat="false" ht="15.75" hidden="false" customHeight="true" outlineLevel="0" collapsed="false">
      <c r="B3" s="1" t="s">
        <v>12</v>
      </c>
      <c r="C3" s="4" t="n">
        <v>-247.8</v>
      </c>
      <c r="D3" s="1" t="n">
        <v>234.9</v>
      </c>
      <c r="E3" s="1" t="n">
        <v>15</v>
      </c>
      <c r="F3" s="0" t="n">
        <f aca="false">E3+69</f>
        <v>84</v>
      </c>
      <c r="G3" s="2"/>
      <c r="H3" s="2" t="n">
        <v>2</v>
      </c>
      <c r="I3" s="2" t="n">
        <f aca="false">C3/248.3</f>
        <v>-0.99798630688683</v>
      </c>
      <c r="J3" s="2" t="n">
        <f aca="false">D3/315</f>
        <v>0.745714285714286</v>
      </c>
      <c r="K3" s="0" t="n">
        <f aca="false">F3/366</f>
        <v>0.229508196721311</v>
      </c>
      <c r="L3" s="2"/>
      <c r="M3" s="5" t="n">
        <v>90</v>
      </c>
      <c r="N3" s="5" t="n">
        <f aca="false">(Q3/PI())*-180</f>
        <v>-13.821161072019</v>
      </c>
      <c r="O3" s="5"/>
      <c r="P3" s="2" t="n">
        <f aca="false">SQRT(C3^2+D3^2)</f>
        <v>341.442308450491</v>
      </c>
      <c r="Q3" s="2" t="n">
        <f aca="false">ATAN(F3/P3)</f>
        <v>0.241224767155201</v>
      </c>
    </row>
    <row r="4" customFormat="false" ht="15.75" hidden="false" customHeight="true" outlineLevel="0" collapsed="false">
      <c r="B4" s="1" t="s">
        <v>13</v>
      </c>
      <c r="C4" s="4" t="n">
        <v>-247.8</v>
      </c>
      <c r="D4" s="1" t="n">
        <v>204.3</v>
      </c>
      <c r="E4" s="1" t="n">
        <v>15</v>
      </c>
      <c r="F4" s="0" t="n">
        <f aca="false">E4+69</f>
        <v>84</v>
      </c>
      <c r="G4" s="2"/>
      <c r="H4" s="2" t="n">
        <v>3</v>
      </c>
      <c r="I4" s="2" t="n">
        <f aca="false">C4/248.3</f>
        <v>-0.99798630688683</v>
      </c>
      <c r="J4" s="2" t="n">
        <f aca="false">D4/315</f>
        <v>0.648571428571429</v>
      </c>
      <c r="K4" s="0" t="n">
        <f aca="false">F4/366</f>
        <v>0.229508196721311</v>
      </c>
      <c r="L4" s="2"/>
      <c r="M4" s="5" t="n">
        <v>90</v>
      </c>
      <c r="N4" s="5" t="n">
        <f aca="false">(Q4/PI())*-180</f>
        <v>-14.6574986733242</v>
      </c>
      <c r="O4" s="5"/>
      <c r="P4" s="2" t="n">
        <f aca="false">SQRT(C4^2+D4^2)</f>
        <v>321.15935296983</v>
      </c>
      <c r="Q4" s="2" t="n">
        <f aca="false">ATAN(F4/P4)</f>
        <v>0.255821611956208</v>
      </c>
    </row>
    <row r="5" customFormat="false" ht="15.75" hidden="false" customHeight="true" outlineLevel="0" collapsed="false">
      <c r="B5" s="1" t="s">
        <v>14</v>
      </c>
      <c r="C5" s="4" t="n">
        <v>-247.8</v>
      </c>
      <c r="D5" s="1" t="n">
        <v>172.6</v>
      </c>
      <c r="E5" s="1" t="n">
        <v>15</v>
      </c>
      <c r="F5" s="0" t="n">
        <f aca="false">E5+69</f>
        <v>84</v>
      </c>
      <c r="G5" s="2"/>
      <c r="H5" s="2" t="n">
        <v>4</v>
      </c>
      <c r="I5" s="2" t="n">
        <f aca="false">C5/248.3</f>
        <v>-0.99798630688683</v>
      </c>
      <c r="J5" s="2" t="n">
        <f aca="false">D5/315</f>
        <v>0.547936507936508</v>
      </c>
      <c r="K5" s="0" t="n">
        <f aca="false">F5/366</f>
        <v>0.229508196721311</v>
      </c>
      <c r="L5" s="2"/>
      <c r="M5" s="5" t="n">
        <v>90</v>
      </c>
      <c r="N5" s="5" t="n">
        <f aca="false">(Q5/PI())*-180</f>
        <v>-15.5443604603174</v>
      </c>
      <c r="O5" s="5"/>
      <c r="P5" s="2" t="n">
        <f aca="false">SQRT(C5^2+D5^2)</f>
        <v>301.986092394998</v>
      </c>
      <c r="Q5" s="2" t="n">
        <f aca="false">ATAN(F5/P5)</f>
        <v>0.27130027014936</v>
      </c>
    </row>
    <row r="6" customFormat="false" ht="15.75" hidden="false" customHeight="true" outlineLevel="0" collapsed="false">
      <c r="B6" s="1" t="s">
        <v>15</v>
      </c>
      <c r="C6" s="4" t="n">
        <v>-247.8</v>
      </c>
      <c r="D6" s="1" t="n">
        <v>141</v>
      </c>
      <c r="E6" s="1" t="n">
        <v>15</v>
      </c>
      <c r="F6" s="0" t="n">
        <f aca="false">E6+69</f>
        <v>84</v>
      </c>
      <c r="G6" s="2"/>
      <c r="H6" s="2" t="n">
        <v>5</v>
      </c>
      <c r="I6" s="2" t="n">
        <f aca="false">C6/248.3</f>
        <v>-0.99798630688683</v>
      </c>
      <c r="J6" s="2" t="n">
        <f aca="false">D6/315</f>
        <v>0.447619047619048</v>
      </c>
      <c r="K6" s="0" t="n">
        <f aca="false">F6/366</f>
        <v>0.229508196721311</v>
      </c>
      <c r="L6" s="2"/>
      <c r="M6" s="5" t="n">
        <v>90</v>
      </c>
      <c r="N6" s="5" t="n">
        <f aca="false">(Q6/PI())*-180</f>
        <v>-16.4163715823259</v>
      </c>
      <c r="O6" s="5"/>
      <c r="P6" s="2" t="n">
        <f aca="false">SQRT(C6^2+D6^2)</f>
        <v>285.106716862301</v>
      </c>
      <c r="Q6" s="2" t="n">
        <f aca="false">ATAN(F6/P6)</f>
        <v>0.286519735342419</v>
      </c>
    </row>
    <row r="7" customFormat="false" ht="15.75" hidden="false" customHeight="true" outlineLevel="0" collapsed="false">
      <c r="B7" s="1" t="s">
        <v>16</v>
      </c>
      <c r="C7" s="4" t="n">
        <v>-247.8</v>
      </c>
      <c r="D7" s="1" t="n">
        <v>109.4</v>
      </c>
      <c r="E7" s="1" t="n">
        <v>15</v>
      </c>
      <c r="F7" s="0" t="n">
        <f aca="false">E7+69</f>
        <v>84</v>
      </c>
      <c r="G7" s="2"/>
      <c r="H7" s="2" t="n">
        <v>6</v>
      </c>
      <c r="I7" s="2" t="n">
        <f aca="false">C7/248.3</f>
        <v>-0.99798630688683</v>
      </c>
      <c r="J7" s="2" t="n">
        <f aca="false">D7/315</f>
        <v>0.347301587301587</v>
      </c>
      <c r="K7" s="0" t="n">
        <f aca="false">F7/366</f>
        <v>0.229508196721311</v>
      </c>
      <c r="L7" s="2"/>
      <c r="M7" s="5" t="n">
        <v>90</v>
      </c>
      <c r="N7" s="5" t="n">
        <f aca="false">(Q7/PI())*-180</f>
        <v>-17.2289913361914</v>
      </c>
      <c r="O7" s="5"/>
      <c r="P7" s="2" t="n">
        <f aca="false">SQRT(C7^2+D7^2)</f>
        <v>270.874878864763</v>
      </c>
      <c r="Q7" s="2" t="n">
        <f aca="false">ATAN(F7/P7)</f>
        <v>0.300702625614118</v>
      </c>
    </row>
    <row r="8" customFormat="false" ht="15.75" hidden="false" customHeight="true" outlineLevel="0" collapsed="false">
      <c r="B8" s="1" t="s">
        <v>17</v>
      </c>
      <c r="C8" s="4" t="n">
        <v>-247.8</v>
      </c>
      <c r="D8" s="1" t="n">
        <v>77.8</v>
      </c>
      <c r="E8" s="1" t="n">
        <v>15</v>
      </c>
      <c r="F8" s="0" t="n">
        <f aca="false">E8+69</f>
        <v>84</v>
      </c>
      <c r="G8" s="2"/>
      <c r="H8" s="2" t="n">
        <v>7</v>
      </c>
      <c r="I8" s="2" t="n">
        <f aca="false">C8/248.3</f>
        <v>-0.99798630688683</v>
      </c>
      <c r="J8" s="2" t="n">
        <f aca="false">D8/315</f>
        <v>0.246984126984127</v>
      </c>
      <c r="K8" s="0" t="n">
        <f aca="false">F8/366</f>
        <v>0.229508196721311</v>
      </c>
      <c r="L8" s="2"/>
      <c r="M8" s="5" t="n">
        <v>90</v>
      </c>
      <c r="N8" s="5" t="n">
        <f aca="false">(Q8/PI())*-180</f>
        <v>-17.9221177652624</v>
      </c>
      <c r="O8" s="5"/>
      <c r="P8" s="2" t="n">
        <f aca="false">SQRT(C8^2+D8^2)</f>
        <v>259.726163487624</v>
      </c>
      <c r="Q8" s="2" t="n">
        <f aca="false">ATAN(F8/P8)</f>
        <v>0.312799963933997</v>
      </c>
    </row>
    <row r="9" customFormat="false" ht="15.75" hidden="false" customHeight="true" outlineLevel="0" collapsed="false">
      <c r="B9" s="1" t="s">
        <v>18</v>
      </c>
      <c r="C9" s="4" t="n">
        <v>-247.8</v>
      </c>
      <c r="D9" s="1" t="n">
        <v>45.2</v>
      </c>
      <c r="E9" s="1" t="n">
        <v>15</v>
      </c>
      <c r="F9" s="0" t="n">
        <f aca="false">E9+69</f>
        <v>84</v>
      </c>
      <c r="G9" s="2"/>
      <c r="H9" s="2" t="n">
        <v>8</v>
      </c>
      <c r="I9" s="2" t="n">
        <f aca="false">C9/248.3</f>
        <v>-0.99798630688683</v>
      </c>
      <c r="J9" s="2" t="n">
        <f aca="false">D9/315</f>
        <v>0.143492063492064</v>
      </c>
      <c r="K9" s="0" t="n">
        <f aca="false">F9/366</f>
        <v>0.229508196721311</v>
      </c>
      <c r="L9" s="2"/>
      <c r="M9" s="5" t="n">
        <v>90</v>
      </c>
      <c r="N9" s="5" t="n">
        <f aca="false">(Q9/PI())*-180</f>
        <v>-18.4425485716183</v>
      </c>
      <c r="O9" s="5"/>
      <c r="P9" s="2" t="n">
        <f aca="false">SQRT(C9^2+D9^2)</f>
        <v>251.888626182287</v>
      </c>
      <c r="Q9" s="2" t="n">
        <f aca="false">ATAN(F9/P9)</f>
        <v>0.321883195033716</v>
      </c>
    </row>
    <row r="10" customFormat="false" ht="15.75" hidden="false" customHeight="true" outlineLevel="0" collapsed="false">
      <c r="B10" s="1" t="s">
        <v>19</v>
      </c>
      <c r="C10" s="4" t="n">
        <v>-247.8</v>
      </c>
      <c r="D10" s="1" t="n">
        <v>14.5</v>
      </c>
      <c r="E10" s="1" t="n">
        <v>15</v>
      </c>
      <c r="F10" s="0" t="n">
        <f aca="false">E10+69</f>
        <v>84</v>
      </c>
      <c r="G10" s="2"/>
      <c r="H10" s="2" t="n">
        <v>9</v>
      </c>
      <c r="I10" s="2" t="n">
        <f aca="false">C10/248.3</f>
        <v>-0.99798630688683</v>
      </c>
      <c r="J10" s="2" t="n">
        <f aca="false">D10/315</f>
        <v>0.046031746031746</v>
      </c>
      <c r="K10" s="0" t="n">
        <f aca="false">F10/366</f>
        <v>0.229508196721311</v>
      </c>
      <c r="L10" s="2"/>
      <c r="M10" s="5" t="n">
        <v>90</v>
      </c>
      <c r="N10" s="5" t="n">
        <f aca="false">(Q10/PI())*-180</f>
        <v>-18.6960350836183</v>
      </c>
      <c r="O10" s="5"/>
      <c r="P10" s="2" t="n">
        <f aca="false">SQRT(C10^2+D10^2)</f>
        <v>248.22387072963</v>
      </c>
      <c r="Q10" s="2" t="n">
        <f aca="false">ATAN(F10/P10)</f>
        <v>0.326307369277513</v>
      </c>
    </row>
    <row r="11" customFormat="false" ht="15.75" hidden="false" customHeight="true" outlineLevel="0" collapsed="false">
      <c r="B11" s="1" t="s">
        <v>20</v>
      </c>
      <c r="C11" s="4" t="n">
        <v>-247.8</v>
      </c>
      <c r="D11" s="1" t="n">
        <v>-17.1</v>
      </c>
      <c r="E11" s="1" t="n">
        <v>15</v>
      </c>
      <c r="F11" s="0" t="n">
        <f aca="false">E11+69</f>
        <v>84</v>
      </c>
      <c r="G11" s="2"/>
      <c r="H11" s="2" t="n">
        <v>10</v>
      </c>
      <c r="I11" s="2" t="n">
        <f aca="false">C11/248.3</f>
        <v>-0.99798630688683</v>
      </c>
      <c r="J11" s="2" t="n">
        <f aca="false">D11/315</f>
        <v>-0.0542857142857143</v>
      </c>
      <c r="K11" s="0" t="n">
        <f aca="false">F11/366</f>
        <v>0.229508196721311</v>
      </c>
      <c r="L11" s="2"/>
      <c r="M11" s="5" t="n">
        <v>90</v>
      </c>
      <c r="N11" s="5" t="n">
        <f aca="false">(Q11/PI())*-180</f>
        <v>-18.6844470293033</v>
      </c>
      <c r="O11" s="5"/>
      <c r="P11" s="2" t="n">
        <f aca="false">SQRT(C11^2+D11^2)</f>
        <v>248.389311364237</v>
      </c>
      <c r="Q11" s="2" t="n">
        <f aca="false">ATAN(F11/P11)</f>
        <v>0.326105119575817</v>
      </c>
    </row>
    <row r="12" customFormat="false" ht="15.75" hidden="false" customHeight="true" outlineLevel="0" collapsed="false">
      <c r="B12" s="1" t="s">
        <v>21</v>
      </c>
      <c r="C12" s="4" t="n">
        <v>-247.8</v>
      </c>
      <c r="D12" s="1" t="n">
        <v>-49.7</v>
      </c>
      <c r="E12" s="1" t="n">
        <v>15</v>
      </c>
      <c r="F12" s="0" t="n">
        <f aca="false">E12+69</f>
        <v>84</v>
      </c>
      <c r="G12" s="2"/>
      <c r="H12" s="2" t="n">
        <v>11</v>
      </c>
      <c r="I12" s="2" t="n">
        <f aca="false">C12/248.3</f>
        <v>-0.99798630688683</v>
      </c>
      <c r="J12" s="2" t="n">
        <f aca="false">D12/315</f>
        <v>-0.157777777777778</v>
      </c>
      <c r="K12" s="0" t="n">
        <f aca="false">F12/366</f>
        <v>0.229508196721311</v>
      </c>
      <c r="L12" s="2"/>
      <c r="M12" s="5" t="n">
        <v>90</v>
      </c>
      <c r="N12" s="5" t="n">
        <f aca="false">(Q12/PI())*-180</f>
        <v>-18.3849530272683</v>
      </c>
      <c r="O12" s="5"/>
      <c r="P12" s="2" t="n">
        <f aca="false">SQRT(C12^2+D12^2)</f>
        <v>252.734900637011</v>
      </c>
      <c r="Q12" s="2" t="n">
        <f aca="false">ATAN(F12/P12)</f>
        <v>0.320877963150331</v>
      </c>
    </row>
    <row r="13" customFormat="false" ht="15.75" hidden="false" customHeight="true" outlineLevel="0" collapsed="false">
      <c r="B13" s="1" t="s">
        <v>22</v>
      </c>
      <c r="C13" s="4" t="n">
        <v>-247.8</v>
      </c>
      <c r="D13" s="1" t="n">
        <v>-80.3</v>
      </c>
      <c r="E13" s="1" t="n">
        <v>15</v>
      </c>
      <c r="F13" s="0" t="n">
        <f aca="false">E13+69</f>
        <v>84</v>
      </c>
      <c r="G13" s="2"/>
      <c r="H13" s="2" t="n">
        <v>12</v>
      </c>
      <c r="I13" s="2" t="n">
        <f aca="false">C13/248.3</f>
        <v>-0.99798630688683</v>
      </c>
      <c r="J13" s="2" t="n">
        <f aca="false">D13/315</f>
        <v>-0.254920634920635</v>
      </c>
      <c r="K13" s="0" t="n">
        <f aca="false">F13/366</f>
        <v>0.229508196721311</v>
      </c>
      <c r="L13" s="2"/>
      <c r="M13" s="5" t="n">
        <v>90</v>
      </c>
      <c r="N13" s="5" t="n">
        <f aca="false">(Q13/PI())*-180</f>
        <v>-17.8731727366979</v>
      </c>
      <c r="O13" s="5"/>
      <c r="P13" s="2" t="n">
        <f aca="false">SQRT(C13^2+D13^2)</f>
        <v>260.485949717063</v>
      </c>
      <c r="Q13" s="2" t="n">
        <f aca="false">ATAN(F13/P13)</f>
        <v>0.311945712033065</v>
      </c>
    </row>
    <row r="14" customFormat="false" ht="15.75" hidden="false" customHeight="true" outlineLevel="0" collapsed="false">
      <c r="B14" s="1" t="s">
        <v>23</v>
      </c>
      <c r="C14" s="4" t="n">
        <v>-247.8</v>
      </c>
      <c r="D14" s="1" t="n">
        <v>-111.9</v>
      </c>
      <c r="E14" s="1" t="n">
        <v>15</v>
      </c>
      <c r="F14" s="0" t="n">
        <f aca="false">E14+69</f>
        <v>84</v>
      </c>
      <c r="G14" s="2"/>
      <c r="H14" s="2" t="n">
        <v>13</v>
      </c>
      <c r="I14" s="2" t="n">
        <f aca="false">C14/248.3</f>
        <v>-0.99798630688683</v>
      </c>
      <c r="J14" s="2" t="n">
        <f aca="false">D14/315</f>
        <v>-0.355238095238095</v>
      </c>
      <c r="K14" s="0" t="n">
        <f aca="false">F14/366</f>
        <v>0.229508196721311</v>
      </c>
      <c r="L14" s="2"/>
      <c r="M14" s="5" t="n">
        <v>90</v>
      </c>
      <c r="N14" s="5" t="n">
        <f aca="false">(Q14/PI())*-180</f>
        <v>-17.168204995082</v>
      </c>
      <c r="O14" s="5"/>
      <c r="P14" s="2" t="n">
        <f aca="false">SQRT(C14^2+D14^2)</f>
        <v>271.894188977992</v>
      </c>
      <c r="Q14" s="2" t="n">
        <f aca="false">ATAN(F14/P14)</f>
        <v>0.299641703821517</v>
      </c>
    </row>
    <row r="15" customFormat="false" ht="15.75" hidden="false" customHeight="true" outlineLevel="0" collapsed="false">
      <c r="B15" s="1" t="s">
        <v>24</v>
      </c>
      <c r="C15" s="4" t="n">
        <v>-247.8</v>
      </c>
      <c r="D15" s="1" t="n">
        <v>-144.6</v>
      </c>
      <c r="E15" s="1" t="n">
        <v>15</v>
      </c>
      <c r="F15" s="0" t="n">
        <f aca="false">E15+69</f>
        <v>84</v>
      </c>
      <c r="G15" s="2"/>
      <c r="H15" s="2" t="n">
        <v>14</v>
      </c>
      <c r="I15" s="2" t="n">
        <f aca="false">C15/248.3</f>
        <v>-0.99798630688683</v>
      </c>
      <c r="J15" s="2" t="n">
        <f aca="false">D15/315</f>
        <v>-0.459047619047619</v>
      </c>
      <c r="K15" s="0" t="n">
        <f aca="false">F15/366</f>
        <v>0.229508196721311</v>
      </c>
      <c r="L15" s="2"/>
      <c r="M15" s="5" t="n">
        <v>90</v>
      </c>
      <c r="N15" s="5" t="n">
        <f aca="false">(Q15/PI())*-180</f>
        <v>-16.3190118343287</v>
      </c>
      <c r="O15" s="5"/>
      <c r="P15" s="2" t="n">
        <f aca="false">SQRT(C15^2+D15^2)</f>
        <v>286.904165184126</v>
      </c>
      <c r="Q15" s="2" t="n">
        <f aca="false">ATAN(F15/P15)</f>
        <v>0.284820487180954</v>
      </c>
    </row>
    <row r="16" customFormat="false" ht="15.75" hidden="false" customHeight="true" outlineLevel="0" collapsed="false">
      <c r="B16" s="1" t="s">
        <v>25</v>
      </c>
      <c r="C16" s="4" t="n">
        <v>-247.8</v>
      </c>
      <c r="D16" s="1" t="n">
        <v>-175.2</v>
      </c>
      <c r="E16" s="1" t="n">
        <v>15</v>
      </c>
      <c r="F16" s="0" t="n">
        <f aca="false">E16+69</f>
        <v>84</v>
      </c>
      <c r="G16" s="2"/>
      <c r="H16" s="2" t="n">
        <v>15</v>
      </c>
      <c r="I16" s="2" t="n">
        <f aca="false">C16/248.3</f>
        <v>-0.99798630688683</v>
      </c>
      <c r="J16" s="2" t="n">
        <f aca="false">D16/315</f>
        <v>-0.556190476190476</v>
      </c>
      <c r="K16" s="0" t="n">
        <f aca="false">F16/366</f>
        <v>0.229508196721311</v>
      </c>
      <c r="L16" s="2"/>
      <c r="M16" s="5" t="n">
        <v>90</v>
      </c>
      <c r="N16" s="5" t="n">
        <f aca="false">(Q16/PI())*-180</f>
        <v>-15.4715344774884</v>
      </c>
      <c r="O16" s="5"/>
      <c r="P16" s="2" t="n">
        <f aca="false">SQRT(C16^2+D16^2)</f>
        <v>303.479620403084</v>
      </c>
      <c r="Q16" s="2" t="n">
        <f aca="false">ATAN(F16/P16)</f>
        <v>0.270029216967992</v>
      </c>
    </row>
    <row r="17" customFormat="false" ht="15.75" hidden="false" customHeight="true" outlineLevel="0" collapsed="false">
      <c r="B17" s="1" t="s">
        <v>26</v>
      </c>
      <c r="C17" s="4" t="n">
        <v>-247.8</v>
      </c>
      <c r="D17" s="1" t="n">
        <v>-206.8</v>
      </c>
      <c r="E17" s="1" t="n">
        <v>15</v>
      </c>
      <c r="F17" s="0" t="n">
        <f aca="false">E17+69</f>
        <v>84</v>
      </c>
      <c r="G17" s="2"/>
      <c r="H17" s="2" t="n">
        <v>16</v>
      </c>
      <c r="I17" s="2" t="n">
        <f aca="false">C17/248.3</f>
        <v>-0.99798630688683</v>
      </c>
      <c r="J17" s="2" t="n">
        <f aca="false">D17/315</f>
        <v>-0.656507936507937</v>
      </c>
      <c r="K17" s="0" t="n">
        <f aca="false">F17/366</f>
        <v>0.229508196721311</v>
      </c>
      <c r="L17" s="2"/>
      <c r="M17" s="5" t="n">
        <v>90</v>
      </c>
      <c r="N17" s="5" t="n">
        <f aca="false">(Q17/PI())*-180</f>
        <v>-14.5881135513072</v>
      </c>
      <c r="O17" s="5"/>
      <c r="P17" s="2" t="n">
        <f aca="false">SQRT(C17^2+D17^2)</f>
        <v>322.755449218135</v>
      </c>
      <c r="Q17" s="2" t="n">
        <f aca="false">ATAN(F17/P17)</f>
        <v>0.254610613125114</v>
      </c>
    </row>
    <row r="18" customFormat="false" ht="15.75" hidden="false" customHeight="true" outlineLevel="0" collapsed="false">
      <c r="B18" s="1" t="s">
        <v>27</v>
      </c>
      <c r="C18" s="4" t="n">
        <v>-247.8</v>
      </c>
      <c r="D18" s="1" t="n">
        <v>-239.4</v>
      </c>
      <c r="E18" s="1" t="n">
        <v>15</v>
      </c>
      <c r="F18" s="0" t="n">
        <f aca="false">E18+69</f>
        <v>84</v>
      </c>
      <c r="G18" s="2"/>
      <c r="H18" s="2" t="n">
        <v>17</v>
      </c>
      <c r="I18" s="2" t="n">
        <f aca="false">C18/248.3</f>
        <v>-0.99798630688683</v>
      </c>
      <c r="J18" s="2" t="n">
        <f aca="false">D18/315</f>
        <v>-0.76</v>
      </c>
      <c r="K18" s="0" t="n">
        <f aca="false">F18/366</f>
        <v>0.229508196721311</v>
      </c>
      <c r="L18" s="2"/>
      <c r="M18" s="5" t="n">
        <v>90</v>
      </c>
      <c r="N18" s="5" t="n">
        <f aca="false">(Q18/PI())*-180</f>
        <v>-13.7010799325696</v>
      </c>
      <c r="O18" s="5"/>
      <c r="P18" s="2" t="n">
        <f aca="false">SQRT(C18^2+D18^2)</f>
        <v>344.553624273494</v>
      </c>
      <c r="Q18" s="2" t="n">
        <f aca="false">ATAN(F18/P18)</f>
        <v>0.239128955902262</v>
      </c>
    </row>
    <row r="19" customFormat="false" ht="15.75" hidden="false" customHeight="true" outlineLevel="0" collapsed="false">
      <c r="B19" s="1" t="s">
        <v>28</v>
      </c>
      <c r="C19" s="4" t="n">
        <v>-247.8</v>
      </c>
      <c r="D19" s="1" t="n">
        <v>-270</v>
      </c>
      <c r="E19" s="1" t="n">
        <v>15</v>
      </c>
      <c r="F19" s="0" t="n">
        <f aca="false">E19+69</f>
        <v>84</v>
      </c>
      <c r="G19" s="2"/>
      <c r="H19" s="2" t="n">
        <v>18</v>
      </c>
      <c r="I19" s="2" t="n">
        <f aca="false">C19/248.3</f>
        <v>-0.99798630688683</v>
      </c>
      <c r="J19" s="2" t="n">
        <f aca="false">D19/315</f>
        <v>-0.857142857142857</v>
      </c>
      <c r="K19" s="0" t="n">
        <f aca="false">F19/366</f>
        <v>0.229508196721311</v>
      </c>
      <c r="L19" s="2"/>
      <c r="M19" s="5" t="n">
        <v>90</v>
      </c>
      <c r="N19" s="5" t="n">
        <f aca="false">(Q19/PI())*-180</f>
        <v>-12.9097645071885</v>
      </c>
      <c r="O19" s="5"/>
      <c r="P19" s="2" t="n">
        <f aca="false">SQRT(C19^2+D19^2)</f>
        <v>366.476247524993</v>
      </c>
      <c r="Q19" s="2" t="n">
        <f aca="false">ATAN(F19/P19)</f>
        <v>0.225317896307543</v>
      </c>
    </row>
    <row r="20" customFormat="false" ht="15.75" hidden="false" customHeight="true" outlineLevel="0" collapsed="false">
      <c r="B20" s="1" t="s">
        <v>29</v>
      </c>
      <c r="C20" s="4" t="n">
        <v>-204.8</v>
      </c>
      <c r="D20" s="6" t="n">
        <v>-296.9</v>
      </c>
      <c r="E20" s="1" t="n">
        <v>15</v>
      </c>
      <c r="F20" s="0" t="n">
        <f aca="false">E20+69</f>
        <v>84</v>
      </c>
      <c r="G20" s="2"/>
      <c r="H20" s="2" t="n">
        <v>19</v>
      </c>
      <c r="I20" s="2" t="n">
        <f aca="false">C20/248.3</f>
        <v>-0.824808699154249</v>
      </c>
      <c r="J20" s="2" t="n">
        <f aca="false">D20/315</f>
        <v>-0.942539682539683</v>
      </c>
      <c r="K20" s="0" t="n">
        <f aca="false">F20/366</f>
        <v>0.229508196721311</v>
      </c>
      <c r="L20" s="2"/>
      <c r="M20" s="5" t="n">
        <v>0</v>
      </c>
      <c r="N20" s="5" t="n">
        <f aca="false">(Q20/PI())*-180</f>
        <v>-13.1099905415332</v>
      </c>
      <c r="O20" s="5"/>
      <c r="P20" s="2" t="n">
        <f aca="false">SQRT(C20^2+D20^2)</f>
        <v>360.683587095393</v>
      </c>
      <c r="Q20" s="2" t="n">
        <f aca="false">ATAN(F20/P20)</f>
        <v>0.228812499855068</v>
      </c>
    </row>
    <row r="21" customFormat="false" ht="15.75" hidden="false" customHeight="true" outlineLevel="0" collapsed="false">
      <c r="B21" s="1" t="s">
        <v>30</v>
      </c>
      <c r="C21" s="1" t="n">
        <v>-173.2</v>
      </c>
      <c r="D21" s="6" t="n">
        <v>-296.9</v>
      </c>
      <c r="E21" s="1" t="n">
        <v>15</v>
      </c>
      <c r="F21" s="0" t="n">
        <f aca="false">E21+69</f>
        <v>84</v>
      </c>
      <c r="G21" s="2"/>
      <c r="H21" s="2" t="n">
        <v>20</v>
      </c>
      <c r="I21" s="2" t="n">
        <f aca="false">C21/248.3</f>
        <v>-0.697543294401933</v>
      </c>
      <c r="J21" s="2" t="n">
        <f aca="false">D21/315</f>
        <v>-0.942539682539683</v>
      </c>
      <c r="K21" s="0" t="n">
        <f aca="false">F21/366</f>
        <v>0.229508196721311</v>
      </c>
      <c r="L21" s="2"/>
      <c r="M21" s="5" t="n">
        <v>0</v>
      </c>
      <c r="N21" s="5" t="n">
        <f aca="false">(Q21/PI())*-180</f>
        <v>-13.73280577714</v>
      </c>
      <c r="O21" s="5"/>
      <c r="P21" s="2" t="n">
        <f aca="false">SQRT(C21^2+D21^2)</f>
        <v>343.726417372887</v>
      </c>
      <c r="Q21" s="2" t="n">
        <f aca="false">ATAN(F21/P21)</f>
        <v>0.239682676347991</v>
      </c>
    </row>
    <row r="22" customFormat="false" ht="15.75" hidden="false" customHeight="true" outlineLevel="0" collapsed="false">
      <c r="B22" s="1" t="s">
        <v>31</v>
      </c>
      <c r="C22" s="1" t="n">
        <v>-141.6</v>
      </c>
      <c r="D22" s="6" t="n">
        <v>-296.9</v>
      </c>
      <c r="E22" s="1" t="n">
        <v>15</v>
      </c>
      <c r="F22" s="0" t="n">
        <f aca="false">E22+69</f>
        <v>84</v>
      </c>
      <c r="G22" s="2"/>
      <c r="H22" s="2" t="n">
        <v>21</v>
      </c>
      <c r="I22" s="2" t="n">
        <f aca="false">C22/248.3</f>
        <v>-0.570277889649617</v>
      </c>
      <c r="J22" s="2" t="n">
        <f aca="false">D22/315</f>
        <v>-0.942539682539683</v>
      </c>
      <c r="K22" s="0" t="n">
        <f aca="false">F22/366</f>
        <v>0.229508196721311</v>
      </c>
      <c r="L22" s="2"/>
      <c r="M22" s="5" t="n">
        <v>0</v>
      </c>
      <c r="N22" s="5" t="n">
        <f aca="false">(Q22/PI())*-180</f>
        <v>-14.3253109057638</v>
      </c>
      <c r="O22" s="5"/>
      <c r="P22" s="2" t="n">
        <f aca="false">SQRT(C22^2+D22^2)</f>
        <v>328.937942475477</v>
      </c>
      <c r="Q22" s="2" t="n">
        <f aca="false">ATAN(F22/P22)</f>
        <v>0.25002384167743</v>
      </c>
    </row>
    <row r="23" customFormat="false" ht="15.75" hidden="false" customHeight="true" outlineLevel="0" collapsed="false">
      <c r="B23" s="1" t="s">
        <v>32</v>
      </c>
      <c r="C23" s="1" t="n">
        <v>-109.9</v>
      </c>
      <c r="D23" s="6" t="n">
        <v>-296.9</v>
      </c>
      <c r="E23" s="1" t="n">
        <v>15</v>
      </c>
      <c r="F23" s="0" t="n">
        <f aca="false">E23+69</f>
        <v>84</v>
      </c>
      <c r="G23" s="2"/>
      <c r="H23" s="2" t="n">
        <v>22</v>
      </c>
      <c r="I23" s="2" t="n">
        <f aca="false">C23/248.3</f>
        <v>-0.442609746274668</v>
      </c>
      <c r="J23" s="2" t="n">
        <f aca="false">D23/315</f>
        <v>-0.942539682539683</v>
      </c>
      <c r="K23" s="0" t="n">
        <f aca="false">F23/366</f>
        <v>0.229508196721311</v>
      </c>
      <c r="L23" s="2"/>
      <c r="M23" s="5" t="n">
        <v>0</v>
      </c>
      <c r="N23" s="5" t="n">
        <f aca="false">(Q23/PI())*-180</f>
        <v>-14.8598670574779</v>
      </c>
      <c r="O23" s="5"/>
      <c r="P23" s="2" t="n">
        <f aca="false">SQRT(C23^2+D23^2)</f>
        <v>316.58746026967</v>
      </c>
      <c r="Q23" s="2" t="n">
        <f aca="false">ATAN(F23/P23)</f>
        <v>0.25935360656163</v>
      </c>
    </row>
    <row r="24" customFormat="false" ht="15.75" hidden="false" customHeight="true" outlineLevel="0" collapsed="false">
      <c r="B24" s="1" t="s">
        <v>33</v>
      </c>
      <c r="C24" s="1" t="n">
        <v>-78.3</v>
      </c>
      <c r="D24" s="6" t="n">
        <v>-296.9</v>
      </c>
      <c r="E24" s="1" t="n">
        <v>15</v>
      </c>
      <c r="F24" s="0" t="n">
        <f aca="false">E24+69</f>
        <v>84</v>
      </c>
      <c r="G24" s="2"/>
      <c r="H24" s="2" t="n">
        <v>23</v>
      </c>
      <c r="I24" s="2" t="n">
        <f aca="false">C24/248.3</f>
        <v>-0.315344341522352</v>
      </c>
      <c r="J24" s="2" t="n">
        <f aca="false">D24/315</f>
        <v>-0.942539682539683</v>
      </c>
      <c r="K24" s="0" t="n">
        <f aca="false">F24/366</f>
        <v>0.229508196721311</v>
      </c>
      <c r="L24" s="2"/>
      <c r="M24" s="5" t="n">
        <v>0</v>
      </c>
      <c r="N24" s="5" t="n">
        <f aca="false">(Q24/PI())*-180</f>
        <v>-15.3000468830348</v>
      </c>
      <c r="O24" s="5"/>
      <c r="P24" s="2" t="n">
        <f aca="false">SQRT(C24^2+D24^2)</f>
        <v>307.051298645682</v>
      </c>
      <c r="Q24" s="2" t="n">
        <f aca="false">ATAN(F24/P24)</f>
        <v>0.267036193818453</v>
      </c>
    </row>
    <row r="25" customFormat="false" ht="15.75" hidden="false" customHeight="true" outlineLevel="0" collapsed="false">
      <c r="B25" s="1" t="s">
        <v>34</v>
      </c>
      <c r="C25" s="1" t="n">
        <v>-45.7</v>
      </c>
      <c r="D25" s="6" t="n">
        <v>-296.9</v>
      </c>
      <c r="E25" s="1" t="n">
        <v>15</v>
      </c>
      <c r="F25" s="0" t="n">
        <f aca="false">E25+69</f>
        <v>84</v>
      </c>
      <c r="G25" s="2"/>
      <c r="H25" s="2" t="n">
        <v>24</v>
      </c>
      <c r="I25" s="2" t="n">
        <f aca="false">C25/248.3</f>
        <v>-0.184051550543697</v>
      </c>
      <c r="J25" s="2" t="n">
        <f aca="false">D25/315</f>
        <v>-0.942539682539683</v>
      </c>
      <c r="K25" s="0" t="n">
        <f aca="false">F25/366</f>
        <v>0.229508196721311</v>
      </c>
      <c r="L25" s="2"/>
      <c r="M25" s="5" t="n">
        <v>0</v>
      </c>
      <c r="N25" s="5" t="n">
        <f aca="false">(Q25/PI())*-180</f>
        <v>-15.6226052276219</v>
      </c>
      <c r="O25" s="5"/>
      <c r="P25" s="2" t="n">
        <f aca="false">SQRT(C25^2+D25^2)</f>
        <v>300.396571218781</v>
      </c>
      <c r="Q25" s="2" t="n">
        <f aca="false">ATAN(F25/P25)</f>
        <v>0.27266589896128</v>
      </c>
    </row>
    <row r="26" customFormat="false" ht="15.75" hidden="false" customHeight="true" outlineLevel="0" collapsed="false">
      <c r="B26" s="1" t="s">
        <v>35</v>
      </c>
      <c r="C26" s="1" t="n">
        <v>-15.1</v>
      </c>
      <c r="D26" s="6" t="n">
        <v>-296.9</v>
      </c>
      <c r="E26" s="1" t="n">
        <v>15</v>
      </c>
      <c r="F26" s="0" t="n">
        <f aca="false">E26+69</f>
        <v>84</v>
      </c>
      <c r="G26" s="2"/>
      <c r="H26" s="2" t="n">
        <v>25</v>
      </c>
      <c r="I26" s="2" t="n">
        <f aca="false">C26/248.3</f>
        <v>-0.0608135320177205</v>
      </c>
      <c r="J26" s="2" t="n">
        <f aca="false">D26/315</f>
        <v>-0.942539682539683</v>
      </c>
      <c r="K26" s="0" t="n">
        <f aca="false">F26/366</f>
        <v>0.229508196721311</v>
      </c>
      <c r="L26" s="2"/>
      <c r="M26" s="5" t="n">
        <v>0</v>
      </c>
      <c r="N26" s="5" t="n">
        <f aca="false">(Q26/PI())*-180</f>
        <v>-15.7780816571907</v>
      </c>
      <c r="O26" s="5"/>
      <c r="P26" s="2" t="n">
        <f aca="false">SQRT(C26^2+D26^2)</f>
        <v>297.283736521189</v>
      </c>
      <c r="Q26" s="2" t="n">
        <f aca="false">ATAN(F26/P26)</f>
        <v>0.2753794745665</v>
      </c>
    </row>
    <row r="27" customFormat="false" ht="15.75" hidden="false" customHeight="true" outlineLevel="0" collapsed="false">
      <c r="B27" s="1" t="s">
        <v>36</v>
      </c>
      <c r="C27" s="1" t="n">
        <v>16.5</v>
      </c>
      <c r="D27" s="6" t="n">
        <v>-296.9</v>
      </c>
      <c r="E27" s="1" t="n">
        <v>15</v>
      </c>
      <c r="F27" s="0" t="n">
        <f aca="false">E27+69</f>
        <v>84</v>
      </c>
      <c r="G27" s="2"/>
      <c r="H27" s="2" t="n">
        <v>26</v>
      </c>
      <c r="I27" s="2" t="n">
        <f aca="false">C27/248.3</f>
        <v>0.0664518727345952</v>
      </c>
      <c r="J27" s="2" t="n">
        <f aca="false">D27/315</f>
        <v>-0.942539682539683</v>
      </c>
      <c r="K27" s="0" t="n">
        <f aca="false">F27/366</f>
        <v>0.229508196721311</v>
      </c>
      <c r="L27" s="2"/>
      <c r="M27" s="5" t="n">
        <v>0</v>
      </c>
      <c r="N27" s="5" t="n">
        <f aca="false">(Q27/PI())*-180</f>
        <v>-15.7743305496609</v>
      </c>
      <c r="O27" s="5"/>
      <c r="P27" s="2" t="n">
        <f aca="false">SQRT(C27^2+D27^2)</f>
        <v>297.358134242196</v>
      </c>
      <c r="Q27" s="2" t="n">
        <f aca="false">ATAN(F27/P27)</f>
        <v>0.27531400538951</v>
      </c>
    </row>
    <row r="28" customFormat="false" ht="15.75" hidden="false" customHeight="true" outlineLevel="0" collapsed="false">
      <c r="B28" s="1" t="s">
        <v>37</v>
      </c>
      <c r="C28" s="1" t="n">
        <v>47.2</v>
      </c>
      <c r="D28" s="6" t="n">
        <v>-296.9</v>
      </c>
      <c r="E28" s="1" t="n">
        <v>15</v>
      </c>
      <c r="F28" s="0" t="n">
        <f aca="false">E28+69</f>
        <v>84</v>
      </c>
      <c r="G28" s="2"/>
      <c r="H28" s="2" t="n">
        <v>27</v>
      </c>
      <c r="I28" s="2" t="n">
        <f aca="false">C28/248.3</f>
        <v>0.190092629883206</v>
      </c>
      <c r="J28" s="2" t="n">
        <f aca="false">D28/315</f>
        <v>-0.942539682539683</v>
      </c>
      <c r="K28" s="0" t="n">
        <f aca="false">F28/366</f>
        <v>0.229508196721311</v>
      </c>
      <c r="L28" s="2"/>
      <c r="M28" s="5" t="n">
        <v>0</v>
      </c>
      <c r="N28" s="5" t="n">
        <f aca="false">(Q28/PI())*-180</f>
        <v>-15.6111443185471</v>
      </c>
      <c r="O28" s="5"/>
      <c r="P28" s="2" t="n">
        <f aca="false">SQRT(C28^2+D28^2)</f>
        <v>300.628425136413</v>
      </c>
      <c r="Q28" s="2" t="n">
        <f aca="false">ATAN(F28/P28)</f>
        <v>0.272465868362654</v>
      </c>
    </row>
    <row r="29" customFormat="false" ht="15.75" hidden="false" customHeight="true" outlineLevel="0" collapsed="false">
      <c r="B29" s="1" t="s">
        <v>38</v>
      </c>
      <c r="C29" s="1" t="n">
        <v>79.8</v>
      </c>
      <c r="D29" s="6" t="n">
        <v>-296.9</v>
      </c>
      <c r="E29" s="1" t="n">
        <v>15</v>
      </c>
      <c r="F29" s="0" t="n">
        <f aca="false">E29+69</f>
        <v>84</v>
      </c>
      <c r="G29" s="2"/>
      <c r="H29" s="2" t="n">
        <v>28</v>
      </c>
      <c r="I29" s="2" t="n">
        <f aca="false">C29/248.3</f>
        <v>0.321385420861861</v>
      </c>
      <c r="J29" s="2" t="n">
        <f aca="false">D29/315</f>
        <v>-0.942539682539683</v>
      </c>
      <c r="K29" s="0" t="n">
        <f aca="false">F29/366</f>
        <v>0.229508196721311</v>
      </c>
      <c r="L29" s="2"/>
      <c r="M29" s="5" t="n">
        <v>0</v>
      </c>
      <c r="N29" s="5" t="n">
        <f aca="false">(Q29/PI())*-180</f>
        <v>-15.2817390140512</v>
      </c>
      <c r="O29" s="5"/>
      <c r="P29" s="2" t="n">
        <f aca="false">SQRT(C29^2+D29^2)</f>
        <v>307.437229365606</v>
      </c>
      <c r="Q29" s="2" t="n">
        <f aca="false">ATAN(F29/P29)</f>
        <v>0.266716661225665</v>
      </c>
    </row>
    <row r="30" customFormat="false" ht="15.75" hidden="false" customHeight="true" outlineLevel="0" collapsed="false">
      <c r="B30" s="1" t="s">
        <v>39</v>
      </c>
      <c r="C30" s="1" t="n">
        <v>111.4</v>
      </c>
      <c r="D30" s="6" t="n">
        <v>-296.9</v>
      </c>
      <c r="E30" s="1" t="n">
        <v>15</v>
      </c>
      <c r="F30" s="0" t="n">
        <f aca="false">E30+69</f>
        <v>84</v>
      </c>
      <c r="G30" s="2"/>
      <c r="H30" s="2" t="n">
        <v>29</v>
      </c>
      <c r="I30" s="2" t="n">
        <f aca="false">C30/248.3</f>
        <v>0.448650825614176</v>
      </c>
      <c r="J30" s="2" t="n">
        <f aca="false">D30/315</f>
        <v>-0.942539682539683</v>
      </c>
      <c r="K30" s="0" t="n">
        <f aca="false">F30/366</f>
        <v>0.229508196721311</v>
      </c>
      <c r="L30" s="2"/>
      <c r="M30" s="5" t="n">
        <v>0</v>
      </c>
      <c r="N30" s="5" t="n">
        <f aca="false">(Q30/PI())*-180</f>
        <v>-14.8364038441926</v>
      </c>
      <c r="O30" s="5"/>
      <c r="P30" s="2" t="n">
        <f aca="false">SQRT(C30^2+D30^2)</f>
        <v>317.111289612969</v>
      </c>
      <c r="Q30" s="2" t="n">
        <f aca="false">ATAN(F30/P30)</f>
        <v>0.258944096236704</v>
      </c>
    </row>
    <row r="31" customFormat="false" ht="15.75" hidden="false" customHeight="true" outlineLevel="0" collapsed="false">
      <c r="B31" s="1" t="s">
        <v>40</v>
      </c>
      <c r="C31" s="1" t="n">
        <v>144</v>
      </c>
      <c r="D31" s="6" t="n">
        <v>-296.9</v>
      </c>
      <c r="E31" s="1" t="n">
        <v>15</v>
      </c>
      <c r="F31" s="0" t="n">
        <f aca="false">E31+69</f>
        <v>84</v>
      </c>
      <c r="G31" s="2"/>
      <c r="H31" s="2" t="n">
        <v>30</v>
      </c>
      <c r="I31" s="2" t="n">
        <f aca="false">C31/248.3</f>
        <v>0.579943616592831</v>
      </c>
      <c r="J31" s="2" t="n">
        <f aca="false">D31/315</f>
        <v>-0.942539682539683</v>
      </c>
      <c r="K31" s="0" t="n">
        <f aca="false">F31/366</f>
        <v>0.229508196721311</v>
      </c>
      <c r="L31" s="2"/>
      <c r="M31" s="5" t="n">
        <v>0</v>
      </c>
      <c r="N31" s="5" t="n">
        <f aca="false">(Q31/PI())*-180</f>
        <v>-14.2820007740414</v>
      </c>
      <c r="O31" s="5"/>
      <c r="P31" s="2" t="n">
        <f aca="false">SQRT(C31^2+D31^2)</f>
        <v>329.978196249389</v>
      </c>
      <c r="Q31" s="2" t="n">
        <f aca="false">ATAN(F31/P31)</f>
        <v>0.249267937279401</v>
      </c>
    </row>
    <row r="32" customFormat="false" ht="15.75" hidden="false" customHeight="true" outlineLevel="0" collapsed="false">
      <c r="B32" s="1" t="s">
        <v>41</v>
      </c>
      <c r="C32" s="1" t="n">
        <v>174.6</v>
      </c>
      <c r="D32" s="6" t="n">
        <v>-296.9</v>
      </c>
      <c r="E32" s="1" t="n">
        <v>15</v>
      </c>
      <c r="F32" s="0" t="n">
        <f aca="false">E32+69</f>
        <v>84</v>
      </c>
      <c r="G32" s="2"/>
      <c r="H32" s="2" t="n">
        <v>31</v>
      </c>
      <c r="I32" s="2" t="n">
        <f aca="false">C32/248.3</f>
        <v>0.703181635118808</v>
      </c>
      <c r="J32" s="2" t="n">
        <f aca="false">D32/315</f>
        <v>-0.942539682539683</v>
      </c>
      <c r="K32" s="0" t="n">
        <f aca="false">F32/366</f>
        <v>0.229508196721311</v>
      </c>
      <c r="L32" s="2"/>
      <c r="M32" s="5" t="n">
        <v>0</v>
      </c>
      <c r="N32" s="5" t="n">
        <f aca="false">(Q32/PI())*-180</f>
        <v>-13.7056595590557</v>
      </c>
      <c r="O32" s="5"/>
      <c r="P32" s="2" t="n">
        <f aca="false">SQRT(C32^2+D32^2)</f>
        <v>344.433984966641</v>
      </c>
      <c r="Q32" s="2" t="n">
        <f aca="false">ATAN(F32/P32)</f>
        <v>0.239208885462956</v>
      </c>
    </row>
    <row r="33" customFormat="false" ht="15.75" hidden="false" customHeight="true" outlineLevel="0" collapsed="false">
      <c r="B33" s="1" t="s">
        <v>42</v>
      </c>
      <c r="C33" s="1" t="n">
        <v>206.3</v>
      </c>
      <c r="D33" s="6" t="n">
        <v>-296.9</v>
      </c>
      <c r="E33" s="1" t="n">
        <v>15</v>
      </c>
      <c r="F33" s="0" t="n">
        <f aca="false">E33+69</f>
        <v>84</v>
      </c>
      <c r="G33" s="2"/>
      <c r="H33" s="2" t="n">
        <v>32</v>
      </c>
      <c r="I33" s="2" t="n">
        <f aca="false">C33/248.3</f>
        <v>0.830849778493758</v>
      </c>
      <c r="J33" s="2" t="n">
        <f aca="false">D33/315</f>
        <v>-0.942539682539683</v>
      </c>
      <c r="K33" s="0" t="n">
        <f aca="false">F33/366</f>
        <v>0.229508196721311</v>
      </c>
      <c r="L33" s="2"/>
      <c r="M33" s="5" t="n">
        <v>0</v>
      </c>
      <c r="N33" s="5" t="n">
        <f aca="false">(Q33/PI())*-180</f>
        <v>-13.0800951068236</v>
      </c>
      <c r="O33" s="5"/>
      <c r="P33" s="2" t="n">
        <f aca="false">SQRT(C33^2+D33^2)</f>
        <v>361.53741161877</v>
      </c>
      <c r="Q33" s="2" t="n">
        <f aca="false">ATAN(F33/P33)</f>
        <v>0.228290726088071</v>
      </c>
    </row>
    <row r="34" customFormat="false" ht="15.75" hidden="false" customHeight="true" outlineLevel="0" collapsed="false">
      <c r="A34" s="2" t="n">
        <v>248.3</v>
      </c>
      <c r="B34" s="1" t="s">
        <v>43</v>
      </c>
      <c r="C34" s="7" t="n">
        <v>248.3</v>
      </c>
      <c r="D34" s="6" t="n">
        <v>-267.9</v>
      </c>
      <c r="E34" s="1" t="n">
        <v>15</v>
      </c>
      <c r="F34" s="0" t="n">
        <f aca="false">E34+69</f>
        <v>84</v>
      </c>
      <c r="G34" s="2"/>
      <c r="H34" s="2" t="n">
        <v>33</v>
      </c>
      <c r="I34" s="2" t="n">
        <f aca="false">C34/248.3</f>
        <v>1</v>
      </c>
      <c r="J34" s="2" t="n">
        <f aca="false">D34/315</f>
        <v>-0.85047619047619</v>
      </c>
      <c r="K34" s="0" t="n">
        <f aca="false">F34/366</f>
        <v>0.229508196721311</v>
      </c>
      <c r="L34" s="2"/>
      <c r="M34" s="5" t="n">
        <v>270</v>
      </c>
      <c r="N34" s="5" t="n">
        <f aca="false">(Q34/PI())*-180</f>
        <v>-12.9509090114055</v>
      </c>
      <c r="O34" s="5"/>
      <c r="P34" s="2" t="n">
        <f aca="false">SQRT(C34^2+D34^2)</f>
        <v>365.271542828072</v>
      </c>
      <c r="Q34" s="2" t="n">
        <f aca="false">ATAN(F34/P34)</f>
        <v>0.22603600337523</v>
      </c>
    </row>
    <row r="35" customFormat="false" ht="15.75" hidden="false" customHeight="true" outlineLevel="0" collapsed="false">
      <c r="B35" s="1" t="s">
        <v>44</v>
      </c>
      <c r="C35" s="7" t="n">
        <v>248.3</v>
      </c>
      <c r="D35" s="1" t="n">
        <v>-235.3</v>
      </c>
      <c r="E35" s="1" t="n">
        <v>15</v>
      </c>
      <c r="F35" s="0" t="n">
        <f aca="false">E35+69</f>
        <v>84</v>
      </c>
      <c r="G35" s="2"/>
      <c r="H35" s="2" t="n">
        <v>34</v>
      </c>
      <c r="I35" s="2" t="n">
        <f aca="false">C35/248.3</f>
        <v>1</v>
      </c>
      <c r="J35" s="2" t="n">
        <f aca="false">D35/315</f>
        <v>-0.746984126984127</v>
      </c>
      <c r="K35" s="0" t="n">
        <f aca="false">F35/366</f>
        <v>0.229508196721311</v>
      </c>
      <c r="L35" s="2"/>
      <c r="M35" s="5" t="n">
        <v>270</v>
      </c>
      <c r="N35" s="5" t="n">
        <f aca="false">(Q35/PI())*-180</f>
        <v>-13.7963671415391</v>
      </c>
      <c r="O35" s="5"/>
      <c r="P35" s="2" t="n">
        <f aca="false">SQRT(C35^2+D35^2)</f>
        <v>342.080370673326</v>
      </c>
      <c r="Q35" s="2" t="n">
        <f aca="false">ATAN(F35/P35)</f>
        <v>0.240792031433816</v>
      </c>
    </row>
    <row r="36" customFormat="false" ht="15.75" hidden="false" customHeight="true" outlineLevel="0" collapsed="false">
      <c r="B36" s="1" t="s">
        <v>45</v>
      </c>
      <c r="C36" s="7" t="n">
        <v>248.3</v>
      </c>
      <c r="D36" s="1" t="n">
        <v>-204.7</v>
      </c>
      <c r="E36" s="1" t="n">
        <v>15</v>
      </c>
      <c r="F36" s="0" t="n">
        <f aca="false">E36+69</f>
        <v>84</v>
      </c>
      <c r="G36" s="2"/>
      <c r="H36" s="2" t="n">
        <v>35</v>
      </c>
      <c r="I36" s="2" t="n">
        <f aca="false">C36/248.3</f>
        <v>1</v>
      </c>
      <c r="J36" s="2" t="n">
        <f aca="false">D36/315</f>
        <v>-0.64984126984127</v>
      </c>
      <c r="K36" s="0" t="n">
        <f aca="false">F36/366</f>
        <v>0.229508196721311</v>
      </c>
      <c r="L36" s="2"/>
      <c r="M36" s="5" t="n">
        <v>270</v>
      </c>
      <c r="N36" s="5" t="n">
        <f aca="false">(Q36/PI())*-180</f>
        <v>-14.6295887776648</v>
      </c>
      <c r="O36" s="5"/>
      <c r="P36" s="2" t="n">
        <f aca="false">SQRT(C36^2+D36^2)</f>
        <v>321.799596022121</v>
      </c>
      <c r="Q36" s="2" t="n">
        <f aca="false">ATAN(F36/P36)</f>
        <v>0.255334492383064</v>
      </c>
    </row>
    <row r="37" customFormat="false" ht="15.75" hidden="false" customHeight="true" outlineLevel="0" collapsed="false">
      <c r="B37" s="1" t="s">
        <v>46</v>
      </c>
      <c r="C37" s="7" t="n">
        <v>248.3</v>
      </c>
      <c r="D37" s="1" t="n">
        <v>-173.1</v>
      </c>
      <c r="E37" s="1" t="n">
        <v>15</v>
      </c>
      <c r="F37" s="0" t="n">
        <f aca="false">E37+69</f>
        <v>84</v>
      </c>
      <c r="G37" s="2"/>
      <c r="H37" s="2" t="n">
        <v>36</v>
      </c>
      <c r="I37" s="2" t="n">
        <f aca="false">C37/248.3</f>
        <v>1</v>
      </c>
      <c r="J37" s="2" t="n">
        <f aca="false">D37/315</f>
        <v>-0.54952380952381</v>
      </c>
      <c r="K37" s="0" t="n">
        <f aca="false">F37/366</f>
        <v>0.229508196721311</v>
      </c>
      <c r="L37" s="2"/>
      <c r="M37" s="5" t="n">
        <v>270</v>
      </c>
      <c r="N37" s="5" t="n">
        <f aca="false">(Q37/PI())*-180</f>
        <v>-15.5103356424365</v>
      </c>
      <c r="O37" s="5"/>
      <c r="P37" s="2" t="n">
        <f aca="false">SQRT(C37^2+D37^2)</f>
        <v>302.682176548273</v>
      </c>
      <c r="Q37" s="2" t="n">
        <f aca="false">ATAN(F37/P37)</f>
        <v>0.270706425049947</v>
      </c>
    </row>
    <row r="38" customFormat="false" ht="15.75" hidden="false" customHeight="true" outlineLevel="0" collapsed="false">
      <c r="B38" s="1" t="s">
        <v>47</v>
      </c>
      <c r="C38" s="7" t="n">
        <v>248.3</v>
      </c>
      <c r="D38" s="1" t="n">
        <v>-140.5</v>
      </c>
      <c r="E38" s="1" t="n">
        <v>15</v>
      </c>
      <c r="F38" s="0" t="n">
        <f aca="false">E38+69</f>
        <v>84</v>
      </c>
      <c r="G38" s="2"/>
      <c r="H38" s="2" t="n">
        <v>37</v>
      </c>
      <c r="I38" s="2" t="n">
        <f aca="false">C38/248.3</f>
        <v>1</v>
      </c>
      <c r="J38" s="2" t="n">
        <f aca="false">D38/315</f>
        <v>-0.446031746031746</v>
      </c>
      <c r="K38" s="0" t="n">
        <f aca="false">F38/366</f>
        <v>0.229508196721311</v>
      </c>
      <c r="L38" s="2"/>
      <c r="M38" s="5" t="n">
        <v>270</v>
      </c>
      <c r="N38" s="5" t="n">
        <f aca="false">(Q38/PI())*-180</f>
        <v>-16.4061294373101</v>
      </c>
      <c r="O38" s="5"/>
      <c r="P38" s="2" t="n">
        <f aca="false">SQRT(C38^2+D38^2)</f>
        <v>285.294829956661</v>
      </c>
      <c r="Q38" s="2" t="n">
        <f aca="false">ATAN(F38/P38)</f>
        <v>0.286340976189426</v>
      </c>
    </row>
    <row r="39" customFormat="false" ht="15.75" hidden="false" customHeight="true" outlineLevel="0" collapsed="false">
      <c r="B39" s="1" t="s">
        <v>48</v>
      </c>
      <c r="C39" s="7" t="n">
        <v>248.3</v>
      </c>
      <c r="D39" s="1" t="n">
        <v>-109.9</v>
      </c>
      <c r="E39" s="1" t="n">
        <v>15</v>
      </c>
      <c r="F39" s="0" t="n">
        <f aca="false">E39+69</f>
        <v>84</v>
      </c>
      <c r="G39" s="2"/>
      <c r="H39" s="2" t="n">
        <v>38</v>
      </c>
      <c r="I39" s="2" t="n">
        <f aca="false">C39/248.3</f>
        <v>1</v>
      </c>
      <c r="J39" s="2" t="n">
        <f aca="false">D39/315</f>
        <v>-0.348888888888889</v>
      </c>
      <c r="K39" s="0" t="n">
        <f aca="false">F39/366</f>
        <v>0.229508196721311</v>
      </c>
      <c r="L39" s="2"/>
      <c r="M39" s="5" t="n">
        <v>270</v>
      </c>
      <c r="N39" s="5" t="n">
        <f aca="false">(Q39/PI())*-180</f>
        <v>-17.1896167066167</v>
      </c>
      <c r="O39" s="5"/>
      <c r="P39" s="2" t="n">
        <f aca="false">SQRT(C39^2+D39^2)</f>
        <v>271.534344052461</v>
      </c>
      <c r="Q39" s="2" t="n">
        <f aca="false">ATAN(F39/P39)</f>
        <v>0.300015408686286</v>
      </c>
    </row>
    <row r="40" customFormat="false" ht="15.75" hidden="false" customHeight="true" outlineLevel="0" collapsed="false">
      <c r="B40" s="1" t="s">
        <v>49</v>
      </c>
      <c r="C40" s="7" t="n">
        <v>248.3</v>
      </c>
      <c r="D40" s="1" t="n">
        <v>-78.2</v>
      </c>
      <c r="E40" s="1" t="n">
        <v>15</v>
      </c>
      <c r="F40" s="0" t="n">
        <f aca="false">E40+69</f>
        <v>84</v>
      </c>
      <c r="G40" s="2"/>
      <c r="H40" s="2" t="n">
        <v>39</v>
      </c>
      <c r="I40" s="2" t="n">
        <f aca="false">C40/248.3</f>
        <v>1</v>
      </c>
      <c r="J40" s="2" t="n">
        <f aca="false">D40/315</f>
        <v>-0.248253968253968</v>
      </c>
      <c r="K40" s="0" t="n">
        <f aca="false">F40/366</f>
        <v>0.229508196721311</v>
      </c>
      <c r="L40" s="2"/>
      <c r="M40" s="5" t="n">
        <v>270</v>
      </c>
      <c r="N40" s="5" t="n">
        <f aca="false">(Q40/PI())*-180</f>
        <v>-17.8836399625373</v>
      </c>
      <c r="O40" s="5"/>
      <c r="P40" s="2" t="n">
        <f aca="false">SQRT(C40^2+D40^2)</f>
        <v>260.323126133657</v>
      </c>
      <c r="Q40" s="2" t="n">
        <f aca="false">ATAN(F40/P40)</f>
        <v>0.31212839958751</v>
      </c>
    </row>
    <row r="41" customFormat="false" ht="15.75" hidden="false" customHeight="true" outlineLevel="0" collapsed="false">
      <c r="B41" s="1" t="s">
        <v>50</v>
      </c>
      <c r="C41" s="7" t="n">
        <v>248.3</v>
      </c>
      <c r="D41" s="1" t="n">
        <v>-45.6</v>
      </c>
      <c r="E41" s="1" t="n">
        <v>15</v>
      </c>
      <c r="F41" s="0" t="n">
        <f aca="false">E41+69</f>
        <v>84</v>
      </c>
      <c r="G41" s="2"/>
      <c r="H41" s="2" t="n">
        <v>40</v>
      </c>
      <c r="I41" s="2" t="n">
        <f aca="false">C41/248.3</f>
        <v>1</v>
      </c>
      <c r="J41" s="2" t="n">
        <f aca="false">D41/315</f>
        <v>-0.144761904761905</v>
      </c>
      <c r="K41" s="0" t="n">
        <f aca="false">F41/366</f>
        <v>0.229508196721311</v>
      </c>
      <c r="L41" s="2"/>
      <c r="M41" s="5" t="n">
        <v>270</v>
      </c>
      <c r="N41" s="5" t="n">
        <f aca="false">(Q41/PI())*-180</f>
        <v>-18.4041359212516</v>
      </c>
      <c r="O41" s="5"/>
      <c r="P41" s="2" t="n">
        <f aca="false">SQRT(C41^2+D41^2)</f>
        <v>252.452470774203</v>
      </c>
      <c r="Q41" s="2" t="n">
        <f aca="false">ATAN(F41/P41)</f>
        <v>0.321212767810399</v>
      </c>
    </row>
    <row r="42" customFormat="false" ht="15.75" hidden="false" customHeight="true" outlineLevel="0" collapsed="false">
      <c r="B42" s="1" t="s">
        <v>51</v>
      </c>
      <c r="C42" s="7" t="n">
        <v>248.3</v>
      </c>
      <c r="D42" s="1" t="n">
        <v>-15</v>
      </c>
      <c r="E42" s="1" t="n">
        <v>15</v>
      </c>
      <c r="F42" s="0" t="n">
        <f aca="false">E42+69</f>
        <v>84</v>
      </c>
      <c r="G42" s="2"/>
      <c r="H42" s="2" t="n">
        <v>41</v>
      </c>
      <c r="I42" s="2" t="n">
        <f aca="false">C42/248.3</f>
        <v>1</v>
      </c>
      <c r="J42" s="2" t="n">
        <f aca="false">D42/315</f>
        <v>-0.0476190476190476</v>
      </c>
      <c r="K42" s="0" t="n">
        <f aca="false">F42/366</f>
        <v>0.229508196721311</v>
      </c>
      <c r="L42" s="2"/>
      <c r="M42" s="5" t="n">
        <v>270</v>
      </c>
      <c r="N42" s="5" t="n">
        <f aca="false">(Q42/PI())*-180</f>
        <v>-18.6590447661759</v>
      </c>
      <c r="O42" s="5"/>
      <c r="P42" s="2" t="n">
        <f aca="false">SQRT(C42^2+D42^2)</f>
        <v>248.752668327397</v>
      </c>
      <c r="Q42" s="2" t="n">
        <f aca="false">ATAN(F42/P42)</f>
        <v>0.325661766446786</v>
      </c>
    </row>
    <row r="43" customFormat="false" ht="15.75" hidden="false" customHeight="true" outlineLevel="0" collapsed="false">
      <c r="B43" s="1" t="s">
        <v>52</v>
      </c>
      <c r="C43" s="7" t="n">
        <v>248.3</v>
      </c>
      <c r="D43" s="1" t="n">
        <v>16.6</v>
      </c>
      <c r="E43" s="1" t="n">
        <v>15</v>
      </c>
      <c r="F43" s="0" t="n">
        <f aca="false">E43+69</f>
        <v>84</v>
      </c>
      <c r="G43" s="2"/>
      <c r="H43" s="2" t="n">
        <v>42</v>
      </c>
      <c r="I43" s="2" t="n">
        <f aca="false">C43/248.3</f>
        <v>1</v>
      </c>
      <c r="J43" s="2" t="n">
        <f aca="false">D43/315</f>
        <v>0.0526984126984127</v>
      </c>
      <c r="K43" s="0" t="n">
        <f aca="false">F43/366</f>
        <v>0.229508196721311</v>
      </c>
      <c r="L43" s="2"/>
      <c r="M43" s="5" t="n">
        <v>270</v>
      </c>
      <c r="N43" s="5" t="n">
        <f aca="false">(Q43/PI())*-180</f>
        <v>-18.6519533894593</v>
      </c>
      <c r="O43" s="5"/>
      <c r="P43" s="2" t="n">
        <f aca="false">SQRT(C43^2+D43^2)</f>
        <v>248.854274626738</v>
      </c>
      <c r="Q43" s="2" t="n">
        <f aca="false">ATAN(F43/P43)</f>
        <v>0.32553799857458</v>
      </c>
    </row>
    <row r="44" customFormat="false" ht="15.75" hidden="false" customHeight="true" outlineLevel="0" collapsed="false">
      <c r="B44" s="1" t="s">
        <v>53</v>
      </c>
      <c r="C44" s="7" t="n">
        <v>248.3</v>
      </c>
      <c r="D44" s="1" t="n">
        <v>49.2</v>
      </c>
      <c r="E44" s="1" t="n">
        <v>15</v>
      </c>
      <c r="F44" s="0" t="n">
        <f aca="false">E44+69</f>
        <v>84</v>
      </c>
      <c r="G44" s="2"/>
      <c r="H44" s="2" t="n">
        <v>43</v>
      </c>
      <c r="I44" s="2" t="n">
        <f aca="false">C44/248.3</f>
        <v>1</v>
      </c>
      <c r="J44" s="2" t="n">
        <f aca="false">D44/315</f>
        <v>0.156190476190476</v>
      </c>
      <c r="K44" s="0" t="n">
        <f aca="false">F44/366</f>
        <v>0.229508196721311</v>
      </c>
      <c r="L44" s="2"/>
      <c r="M44" s="5" t="n">
        <v>270</v>
      </c>
      <c r="N44" s="5" t="n">
        <f aca="false">(Q44/PI())*-180</f>
        <v>-18.3583515360343</v>
      </c>
      <c r="O44" s="5"/>
      <c r="P44" s="2" t="n">
        <f aca="false">SQRT(C44^2+D44^2)</f>
        <v>253.127497518543</v>
      </c>
      <c r="Q44" s="2" t="n">
        <f aca="false">ATAN(F44/P44)</f>
        <v>0.320413679542357</v>
      </c>
    </row>
    <row r="45" customFormat="false" ht="15.75" hidden="false" customHeight="true" outlineLevel="0" collapsed="false">
      <c r="B45" s="1" t="s">
        <v>54</v>
      </c>
      <c r="C45" s="7" t="n">
        <v>248.3</v>
      </c>
      <c r="D45" s="1" t="n">
        <v>79.9</v>
      </c>
      <c r="E45" s="1" t="n">
        <v>15</v>
      </c>
      <c r="F45" s="0" t="n">
        <f aca="false">E45+69</f>
        <v>84</v>
      </c>
      <c r="G45" s="2"/>
      <c r="H45" s="2" t="n">
        <v>44</v>
      </c>
      <c r="I45" s="2" t="n">
        <f aca="false">C45/248.3</f>
        <v>1</v>
      </c>
      <c r="J45" s="2" t="n">
        <f aca="false">D45/315</f>
        <v>0.253650793650794</v>
      </c>
      <c r="K45" s="0" t="n">
        <f aca="false">F45/366</f>
        <v>0.229508196721311</v>
      </c>
      <c r="L45" s="2"/>
      <c r="M45" s="5" t="n">
        <v>270</v>
      </c>
      <c r="N45" s="5" t="n">
        <f aca="false">(Q45/PI())*-180</f>
        <v>-17.8505276323099</v>
      </c>
      <c r="O45" s="5"/>
      <c r="P45" s="2" t="n">
        <f aca="false">SQRT(C45^2+D45^2)</f>
        <v>260.838839132519</v>
      </c>
      <c r="Q45" s="2" t="n">
        <f aca="false">ATAN(F45/P45)</f>
        <v>0.311550480402035</v>
      </c>
    </row>
    <row r="46" customFormat="false" ht="15.75" hidden="false" customHeight="true" outlineLevel="0" collapsed="false">
      <c r="B46" s="1" t="s">
        <v>55</v>
      </c>
      <c r="C46" s="7" t="n">
        <v>248.3</v>
      </c>
      <c r="D46" s="1" t="n">
        <v>111.5</v>
      </c>
      <c r="E46" s="1" t="n">
        <v>15</v>
      </c>
      <c r="F46" s="0" t="n">
        <f aca="false">E46+69</f>
        <v>84</v>
      </c>
      <c r="G46" s="2"/>
      <c r="H46" s="2" t="n">
        <v>45</v>
      </c>
      <c r="I46" s="2" t="n">
        <f aca="false">C46/248.3</f>
        <v>1</v>
      </c>
      <c r="J46" s="2" t="n">
        <f aca="false">D46/315</f>
        <v>0.353968253968254</v>
      </c>
      <c r="K46" s="0" t="n">
        <f aca="false">F46/366</f>
        <v>0.229508196721311</v>
      </c>
      <c r="L46" s="2"/>
      <c r="M46" s="5" t="n">
        <v>270</v>
      </c>
      <c r="N46" s="5" t="n">
        <f aca="false">(Q46/PI())*-180</f>
        <v>-17.1508879941836</v>
      </c>
      <c r="O46" s="5"/>
      <c r="P46" s="2" t="n">
        <f aca="false">SQRT(C46^2+D46^2)</f>
        <v>272.18585562075</v>
      </c>
      <c r="Q46" s="2" t="n">
        <f aca="false">ATAN(F46/P46)</f>
        <v>0.299339465139271</v>
      </c>
    </row>
    <row r="47" customFormat="false" ht="15.75" hidden="false" customHeight="true" outlineLevel="0" collapsed="false">
      <c r="B47" s="1" t="s">
        <v>56</v>
      </c>
      <c r="C47" s="7" t="n">
        <v>248.3</v>
      </c>
      <c r="D47" s="1" t="n">
        <v>145.1</v>
      </c>
      <c r="E47" s="1" t="n">
        <v>15</v>
      </c>
      <c r="F47" s="0" t="n">
        <f aca="false">E47+69</f>
        <v>84</v>
      </c>
      <c r="G47" s="2"/>
      <c r="H47" s="2" t="n">
        <v>46</v>
      </c>
      <c r="I47" s="2" t="n">
        <f aca="false">C47/248.3</f>
        <v>1</v>
      </c>
      <c r="J47" s="2" t="n">
        <f aca="false">D47/315</f>
        <v>0.460634920634921</v>
      </c>
      <c r="K47" s="0" t="n">
        <f aca="false">F47/366</f>
        <v>0.229508196721311</v>
      </c>
      <c r="L47" s="2"/>
      <c r="M47" s="5" t="n">
        <v>270</v>
      </c>
      <c r="N47" s="5" t="n">
        <f aca="false">(Q47/PI())*-180</f>
        <v>-16.2822619907586</v>
      </c>
      <c r="O47" s="5"/>
      <c r="P47" s="2" t="n">
        <f aca="false">SQRT(C47^2+D47^2)</f>
        <v>287.588073466199</v>
      </c>
      <c r="Q47" s="2" t="n">
        <f aca="false">ATAN(F47/P47)</f>
        <v>0.284179081411064</v>
      </c>
    </row>
    <row r="48" customFormat="false" ht="15.75" hidden="false" customHeight="true" outlineLevel="0" collapsed="false">
      <c r="B48" s="1" t="s">
        <v>57</v>
      </c>
      <c r="C48" s="7" t="n">
        <v>248.3</v>
      </c>
      <c r="D48" s="1" t="n">
        <v>174.7</v>
      </c>
      <c r="E48" s="1" t="n">
        <v>15</v>
      </c>
      <c r="F48" s="0" t="n">
        <f aca="false">E48+69</f>
        <v>84</v>
      </c>
      <c r="G48" s="2"/>
      <c r="H48" s="2" t="n">
        <v>47</v>
      </c>
      <c r="I48" s="2" t="n">
        <f aca="false">C48/248.3</f>
        <v>1</v>
      </c>
      <c r="J48" s="2" t="n">
        <f aca="false">D48/315</f>
        <v>0.554603174603175</v>
      </c>
      <c r="K48" s="0" t="n">
        <f aca="false">F48/366</f>
        <v>0.229508196721311</v>
      </c>
      <c r="L48" s="2"/>
      <c r="M48" s="5" t="n">
        <v>270</v>
      </c>
      <c r="N48" s="5" t="n">
        <f aca="false">(Q48/PI())*-180</f>
        <v>-15.4656920259525</v>
      </c>
      <c r="O48" s="5"/>
      <c r="P48" s="2" t="n">
        <f aca="false">SQRT(C48^2+D48^2)</f>
        <v>303.600032938075</v>
      </c>
      <c r="Q48" s="2" t="n">
        <f aca="false">ATAN(F48/P48)</f>
        <v>0.269927246952303</v>
      </c>
    </row>
    <row r="49" customFormat="false" ht="15.75" hidden="false" customHeight="true" outlineLevel="0" collapsed="false">
      <c r="B49" s="1" t="s">
        <v>58</v>
      </c>
      <c r="C49" s="7" t="n">
        <v>248.3</v>
      </c>
      <c r="D49" s="1" t="n">
        <v>206.3</v>
      </c>
      <c r="E49" s="1" t="n">
        <v>15</v>
      </c>
      <c r="F49" s="0" t="n">
        <f aca="false">E49+69</f>
        <v>84</v>
      </c>
      <c r="G49" s="2"/>
      <c r="H49" s="2" t="n">
        <v>48</v>
      </c>
      <c r="I49" s="2" t="n">
        <f aca="false">C49/248.3</f>
        <v>1</v>
      </c>
      <c r="J49" s="2" t="n">
        <f aca="false">D49/315</f>
        <v>0.654920634920635</v>
      </c>
      <c r="K49" s="0" t="n">
        <f aca="false">F49/366</f>
        <v>0.229508196721311</v>
      </c>
      <c r="L49" s="2"/>
      <c r="M49" s="5" t="n">
        <v>270</v>
      </c>
      <c r="N49" s="5" t="n">
        <f aca="false">(Q49/PI())*-180</f>
        <v>-14.5853324830505</v>
      </c>
      <c r="O49" s="5"/>
      <c r="P49" s="2" t="n">
        <f aca="false">SQRT(C49^2+D49^2)</f>
        <v>322.81973297802</v>
      </c>
      <c r="Q49" s="2" t="n">
        <f aca="false">ATAN(F49/P49)</f>
        <v>0.254562074327311</v>
      </c>
    </row>
    <row r="50" customFormat="false" ht="15.75" hidden="false" customHeight="true" outlineLevel="0" collapsed="false">
      <c r="B50" s="1" t="s">
        <v>59</v>
      </c>
      <c r="C50" s="7" t="n">
        <v>248.3</v>
      </c>
      <c r="D50" s="1" t="n">
        <v>239</v>
      </c>
      <c r="E50" s="1" t="n">
        <v>15</v>
      </c>
      <c r="F50" s="0" t="n">
        <f aca="false">E50+69</f>
        <v>84</v>
      </c>
      <c r="G50" s="2"/>
      <c r="H50" s="2" t="n">
        <v>49</v>
      </c>
      <c r="I50" s="2" t="n">
        <f aca="false">C50/248.3</f>
        <v>1</v>
      </c>
      <c r="J50" s="2" t="n">
        <f aca="false">D50/315</f>
        <v>0.758730158730159</v>
      </c>
      <c r="K50" s="0" t="n">
        <f aca="false">F50/366</f>
        <v>0.229508196721311</v>
      </c>
      <c r="L50" s="2"/>
      <c r="M50" s="5" t="n">
        <v>270</v>
      </c>
      <c r="N50" s="5" t="n">
        <f aca="false">(Q50/PI())*-180</f>
        <v>-13.6979330266688</v>
      </c>
      <c r="O50" s="5"/>
      <c r="P50" s="2" t="n">
        <f aca="false">SQRT(C50^2+D50^2)</f>
        <v>344.635880314282</v>
      </c>
      <c r="Q50" s="2" t="n">
        <f aca="false">ATAN(F50/P50)</f>
        <v>0.239074032033043</v>
      </c>
    </row>
    <row r="51" customFormat="false" ht="15.75" hidden="false" customHeight="true" outlineLevel="0" collapsed="false">
      <c r="B51" s="1" t="s">
        <v>60</v>
      </c>
      <c r="C51" s="7" t="n">
        <v>248.3</v>
      </c>
      <c r="D51" s="1" t="n">
        <v>269.6</v>
      </c>
      <c r="E51" s="1" t="n">
        <v>15</v>
      </c>
      <c r="F51" s="0" t="n">
        <f aca="false">E51+69</f>
        <v>84</v>
      </c>
      <c r="G51" s="2"/>
      <c r="H51" s="2" t="n">
        <v>50</v>
      </c>
      <c r="I51" s="2" t="n">
        <f aca="false">C51/248.3</f>
        <v>1</v>
      </c>
      <c r="J51" s="2" t="n">
        <f aca="false">D51/315</f>
        <v>0.855873015873016</v>
      </c>
      <c r="K51" s="0" t="n">
        <f aca="false">F51/366</f>
        <v>0.229508196721311</v>
      </c>
      <c r="L51" s="2"/>
      <c r="M51" s="5" t="n">
        <v>270</v>
      </c>
      <c r="N51" s="5" t="n">
        <f aca="false">(Q51/PI())*-180</f>
        <v>-12.9082685740285</v>
      </c>
      <c r="O51" s="5"/>
      <c r="P51" s="2" t="n">
        <f aca="false">SQRT(C51^2+D51^2)</f>
        <v>366.520190439763</v>
      </c>
      <c r="Q51" s="2" t="n">
        <f aca="false">ATAN(F51/P51)</f>
        <v>0.225291787348511</v>
      </c>
    </row>
    <row r="52" customFormat="false" ht="15.75" hidden="false" customHeight="true" outlineLevel="0" collapsed="false">
      <c r="B52" s="1" t="s">
        <v>61</v>
      </c>
      <c r="C52" s="1" t="n">
        <v>205.4</v>
      </c>
      <c r="D52" s="6" t="n">
        <v>296.2</v>
      </c>
      <c r="E52" s="1" t="n">
        <v>15</v>
      </c>
      <c r="F52" s="0" t="n">
        <f aca="false">E52+69</f>
        <v>84</v>
      </c>
      <c r="G52" s="2"/>
      <c r="H52" s="2" t="n">
        <v>51</v>
      </c>
      <c r="I52" s="2" t="n">
        <f aca="false">C52/248.3</f>
        <v>0.827225130890052</v>
      </c>
      <c r="J52" s="2" t="n">
        <f aca="false">D52/315</f>
        <v>0.94031746031746</v>
      </c>
      <c r="K52" s="0" t="n">
        <f aca="false">F52/366</f>
        <v>0.229508196721311</v>
      </c>
      <c r="L52" s="2"/>
      <c r="M52" s="5" t="n">
        <v>270</v>
      </c>
      <c r="N52" s="5" t="n">
        <f aca="false">(Q52/PI())*-180</f>
        <v>-13.1182220259348</v>
      </c>
      <c r="O52" s="5"/>
      <c r="P52" s="2" t="n">
        <f aca="false">SQRT(C52^2+D52^2)</f>
        <v>360.449164238177</v>
      </c>
      <c r="Q52" s="2" t="n">
        <f aca="false">ATAN(F52/P52)</f>
        <v>0.228956166360204</v>
      </c>
    </row>
    <row r="53" customFormat="false" ht="15.75" hidden="false" customHeight="true" outlineLevel="0" collapsed="false">
      <c r="B53" s="1" t="s">
        <v>62</v>
      </c>
      <c r="C53" s="1" t="n">
        <v>173.8</v>
      </c>
      <c r="D53" s="6" t="n">
        <v>296.2</v>
      </c>
      <c r="E53" s="1" t="n">
        <v>15</v>
      </c>
      <c r="F53" s="0" t="n">
        <f aca="false">E53+69</f>
        <v>84</v>
      </c>
      <c r="G53" s="2"/>
      <c r="H53" s="2" t="n">
        <v>52</v>
      </c>
      <c r="I53" s="2" t="n">
        <f aca="false">C53/248.3</f>
        <v>0.699959726137737</v>
      </c>
      <c r="J53" s="2" t="n">
        <f aca="false">D53/315</f>
        <v>0.94031746031746</v>
      </c>
      <c r="K53" s="0" t="n">
        <f aca="false">F53/366</f>
        <v>0.229508196721311</v>
      </c>
      <c r="L53" s="2"/>
      <c r="M53" s="5" t="n">
        <v>180</v>
      </c>
      <c r="N53" s="5" t="n">
        <f aca="false">(Q53/PI())*-180</f>
        <v>-13.7443935055767</v>
      </c>
      <c r="O53" s="5"/>
      <c r="P53" s="2" t="n">
        <f aca="false">SQRT(C53^2+D53^2)</f>
        <v>343.425217478274</v>
      </c>
      <c r="Q53" s="2" t="n">
        <f aca="false">ATAN(F53/P53)</f>
        <v>0.239884920362039</v>
      </c>
    </row>
    <row r="54" customFormat="false" ht="15.75" hidden="false" customHeight="true" outlineLevel="0" collapsed="false">
      <c r="B54" s="1" t="s">
        <v>63</v>
      </c>
      <c r="C54" s="1" t="n">
        <v>141.2</v>
      </c>
      <c r="D54" s="6" t="n">
        <v>296.2</v>
      </c>
      <c r="E54" s="1" t="n">
        <v>15</v>
      </c>
      <c r="F54" s="0" t="n">
        <f aca="false">E54+69</f>
        <v>84</v>
      </c>
      <c r="G54" s="2"/>
      <c r="H54" s="2" t="n">
        <v>53</v>
      </c>
      <c r="I54" s="2" t="n">
        <f aca="false">C54/248.3</f>
        <v>0.568666935159082</v>
      </c>
      <c r="J54" s="2" t="n">
        <f aca="false">D54/315</f>
        <v>0.94031746031746</v>
      </c>
      <c r="K54" s="0" t="n">
        <f aca="false">F54/366</f>
        <v>0.229508196721311</v>
      </c>
      <c r="L54" s="2"/>
      <c r="M54" s="5" t="n">
        <v>180</v>
      </c>
      <c r="N54" s="5" t="n">
        <f aca="false">(Q54/PI())*-180</f>
        <v>-14.3589616657275</v>
      </c>
      <c r="O54" s="5"/>
      <c r="P54" s="2" t="n">
        <f aca="false">SQRT(C54^2+D54^2)</f>
        <v>328.133936068795</v>
      </c>
      <c r="Q54" s="2" t="n">
        <f aca="false">ATAN(F54/P54)</f>
        <v>0.250611158234594</v>
      </c>
    </row>
    <row r="55" customFormat="false" ht="15.75" hidden="false" customHeight="true" outlineLevel="0" collapsed="false">
      <c r="B55" s="1" t="s">
        <v>64</v>
      </c>
      <c r="C55" s="1" t="n">
        <v>110.5</v>
      </c>
      <c r="D55" s="6" t="n">
        <v>296.2</v>
      </c>
      <c r="E55" s="1" t="n">
        <v>15</v>
      </c>
      <c r="F55" s="0" t="n">
        <f aca="false">E55+69</f>
        <v>84</v>
      </c>
      <c r="G55" s="2"/>
      <c r="H55" s="2" t="n">
        <v>54</v>
      </c>
      <c r="I55" s="2" t="n">
        <f aca="false">C55/248.3</f>
        <v>0.445026178010471</v>
      </c>
      <c r="J55" s="2" t="n">
        <f aca="false">D55/315</f>
        <v>0.94031746031746</v>
      </c>
      <c r="K55" s="0" t="n">
        <f aca="false">F55/366</f>
        <v>0.229508196721311</v>
      </c>
      <c r="L55" s="2"/>
      <c r="M55" s="5" t="n">
        <v>180</v>
      </c>
      <c r="N55" s="5" t="n">
        <f aca="false">(Q55/PI())*-180</f>
        <v>-14.8799535468049</v>
      </c>
      <c r="O55" s="5"/>
      <c r="P55" s="2" t="n">
        <f aca="false">SQRT(C55^2+D55^2)</f>
        <v>316.140301132266</v>
      </c>
      <c r="Q55" s="2" t="n">
        <f aca="false">ATAN(F55/P55)</f>
        <v>0.259704181935554</v>
      </c>
    </row>
    <row r="56" customFormat="false" ht="15.75" hidden="false" customHeight="true" outlineLevel="0" collapsed="false">
      <c r="B56" s="1" t="s">
        <v>65</v>
      </c>
      <c r="C56" s="1" t="n">
        <v>78.9</v>
      </c>
      <c r="D56" s="6" t="n">
        <v>296.2</v>
      </c>
      <c r="E56" s="1" t="n">
        <v>15</v>
      </c>
      <c r="F56" s="0" t="n">
        <f aca="false">E56+69</f>
        <v>84</v>
      </c>
      <c r="G56" s="2"/>
      <c r="H56" s="2" t="n">
        <v>55</v>
      </c>
      <c r="I56" s="2" t="n">
        <f aca="false">C56/248.3</f>
        <v>0.317760773258155</v>
      </c>
      <c r="J56" s="2" t="n">
        <f aca="false">D56/315</f>
        <v>0.94031746031746</v>
      </c>
      <c r="K56" s="0" t="n">
        <f aca="false">F56/366</f>
        <v>0.229508196721311</v>
      </c>
      <c r="L56" s="2"/>
      <c r="M56" s="5" t="n">
        <v>180</v>
      </c>
      <c r="N56" s="5" t="n">
        <f aca="false">(Q56/PI())*-180</f>
        <v>-15.3249214611684</v>
      </c>
      <c r="O56" s="5"/>
      <c r="P56" s="2" t="n">
        <f aca="false">SQRT(C56^2+D56^2)</f>
        <v>306.528383677597</v>
      </c>
      <c r="Q56" s="2" t="n">
        <f aca="false">ATAN(F56/P56)</f>
        <v>0.267470337106929</v>
      </c>
    </row>
    <row r="57" customFormat="false" ht="15.75" hidden="false" customHeight="true" outlineLevel="0" collapsed="false">
      <c r="B57" s="1" t="s">
        <v>66</v>
      </c>
      <c r="C57" s="1" t="n">
        <v>46.3</v>
      </c>
      <c r="D57" s="6" t="n">
        <v>296.2</v>
      </c>
      <c r="E57" s="1" t="n">
        <v>15</v>
      </c>
      <c r="F57" s="0" t="n">
        <f aca="false">E57+69</f>
        <v>84</v>
      </c>
      <c r="G57" s="2"/>
      <c r="H57" s="2" t="n">
        <v>56</v>
      </c>
      <c r="I57" s="2" t="n">
        <f aca="false">C57/248.3</f>
        <v>0.186467982279501</v>
      </c>
      <c r="J57" s="2" t="n">
        <f aca="false">D57/315</f>
        <v>0.94031746031746</v>
      </c>
      <c r="K57" s="0" t="n">
        <f aca="false">F57/366</f>
        <v>0.229508196721311</v>
      </c>
      <c r="L57" s="2"/>
      <c r="M57" s="5" t="n">
        <v>180</v>
      </c>
      <c r="N57" s="5" t="n">
        <f aca="false">(Q57/PI())*-180</f>
        <v>-15.652328418466</v>
      </c>
      <c r="O57" s="5"/>
      <c r="P57" s="2" t="n">
        <f aca="false">SQRT(C57^2+D57^2)</f>
        <v>299.796814526105</v>
      </c>
      <c r="Q57" s="2" t="n">
        <f aca="false">ATAN(F57/P57)</f>
        <v>0.273184666505708</v>
      </c>
    </row>
    <row r="58" customFormat="false" ht="15.75" hidden="false" customHeight="true" outlineLevel="0" collapsed="false">
      <c r="B58" s="1" t="s">
        <v>67</v>
      </c>
      <c r="C58" s="1" t="n">
        <v>15.7</v>
      </c>
      <c r="D58" s="6" t="n">
        <v>296.2</v>
      </c>
      <c r="E58" s="1" t="n">
        <v>15</v>
      </c>
      <c r="F58" s="0" t="n">
        <f aca="false">E58+69</f>
        <v>84</v>
      </c>
      <c r="G58" s="2"/>
      <c r="H58" s="2" t="n">
        <v>57</v>
      </c>
      <c r="I58" s="2" t="n">
        <f aca="false">C58/248.3</f>
        <v>0.063229963753524</v>
      </c>
      <c r="J58" s="2" t="n">
        <f aca="false">D58/315</f>
        <v>0.94031746031746</v>
      </c>
      <c r="K58" s="0" t="n">
        <f aca="false">F58/366</f>
        <v>0.229508196721311</v>
      </c>
      <c r="L58" s="2"/>
      <c r="M58" s="5" t="n">
        <v>180</v>
      </c>
      <c r="N58" s="5" t="n">
        <f aca="false">(Q58/PI())*-180</f>
        <v>-15.8118370615692</v>
      </c>
      <c r="O58" s="5"/>
      <c r="P58" s="2" t="n">
        <f aca="false">SQRT(C58^2+D58^2)</f>
        <v>296.61579526384</v>
      </c>
      <c r="Q58" s="2" t="n">
        <f aca="false">ATAN(F58/P58)</f>
        <v>0.275968617513247</v>
      </c>
    </row>
    <row r="59" customFormat="false" ht="15.75" hidden="false" customHeight="false" outlineLevel="0" collapsed="false">
      <c r="B59" s="1" t="s">
        <v>68</v>
      </c>
      <c r="C59" s="1" t="n">
        <v>-15.9</v>
      </c>
      <c r="D59" s="6" t="n">
        <v>296.2</v>
      </c>
      <c r="E59" s="1" t="n">
        <v>15</v>
      </c>
      <c r="F59" s="0" t="n">
        <f aca="false">E59+69</f>
        <v>84</v>
      </c>
      <c r="G59" s="2"/>
      <c r="H59" s="2" t="n">
        <v>58</v>
      </c>
      <c r="I59" s="2" t="n">
        <f aca="false">C59/248.3</f>
        <v>-0.0640354409987918</v>
      </c>
      <c r="J59" s="2" t="n">
        <f aca="false">D59/315</f>
        <v>0.94031746031746</v>
      </c>
      <c r="K59" s="0" t="n">
        <f aca="false">F59/366</f>
        <v>0.229508196721311</v>
      </c>
      <c r="L59" s="2"/>
      <c r="M59" s="5" t="n">
        <v>180</v>
      </c>
      <c r="N59" s="5" t="n">
        <f aca="false">(Q59/PI())*-180</f>
        <v>-15.8112975756806</v>
      </c>
      <c r="O59" s="5"/>
      <c r="P59" s="2" t="n">
        <f aca="false">SQRT(C59^2+D59^2)</f>
        <v>296.626448584748</v>
      </c>
      <c r="Q59" s="2" t="n">
        <f aca="false">ATAN(F59/P59)</f>
        <v>0.275959201708224</v>
      </c>
    </row>
    <row r="60" customFormat="false" ht="15.75" hidden="false" customHeight="false" outlineLevel="0" collapsed="false">
      <c r="B60" s="1" t="s">
        <v>69</v>
      </c>
      <c r="C60" s="1" t="n">
        <v>-48.6</v>
      </c>
      <c r="D60" s="6" t="n">
        <v>296.2</v>
      </c>
      <c r="E60" s="1" t="n">
        <v>15</v>
      </c>
      <c r="F60" s="0" t="n">
        <f aca="false">E60+69</f>
        <v>84</v>
      </c>
      <c r="G60" s="2"/>
      <c r="H60" s="2" t="n">
        <v>59</v>
      </c>
      <c r="I60" s="2" t="n">
        <f aca="false">C60/248.3</f>
        <v>-0.195730970600081</v>
      </c>
      <c r="J60" s="2" t="n">
        <f aca="false">D60/315</f>
        <v>0.94031746031746</v>
      </c>
      <c r="K60" s="0" t="n">
        <f aca="false">F60/366</f>
        <v>0.229508196721311</v>
      </c>
      <c r="L60" s="2"/>
      <c r="M60" s="5" t="n">
        <v>180</v>
      </c>
      <c r="N60" s="5" t="n">
        <f aca="false">(Q60/PI())*-180</f>
        <v>-15.6342853495947</v>
      </c>
      <c r="O60" s="5"/>
      <c r="P60" s="2" t="n">
        <f aca="false">SQRT(C60^2+D60^2)</f>
        <v>300.160623666729</v>
      </c>
      <c r="Q60" s="2" t="n">
        <f aca="false">ATAN(F60/P60)</f>
        <v>0.27286975554674</v>
      </c>
    </row>
    <row r="61" customFormat="false" ht="15.75" hidden="false" customHeight="false" outlineLevel="0" collapsed="false">
      <c r="B61" s="1" t="s">
        <v>70</v>
      </c>
      <c r="C61" s="1" t="n">
        <v>-79.2</v>
      </c>
      <c r="D61" s="6" t="n">
        <v>296.2</v>
      </c>
      <c r="E61" s="1" t="n">
        <v>15</v>
      </c>
      <c r="F61" s="0" t="n">
        <f aca="false">E61+69</f>
        <v>84</v>
      </c>
      <c r="G61" s="2"/>
      <c r="H61" s="2" t="n">
        <v>60</v>
      </c>
      <c r="I61" s="2" t="n">
        <f aca="false">C61/248.3</f>
        <v>-0.318968989126057</v>
      </c>
      <c r="J61" s="2" t="n">
        <f aca="false">D61/315</f>
        <v>0.94031746031746</v>
      </c>
      <c r="K61" s="0" t="n">
        <f aca="false">F61/366</f>
        <v>0.229508196721311</v>
      </c>
      <c r="L61" s="2"/>
      <c r="M61" s="5" t="n">
        <v>180</v>
      </c>
      <c r="N61" s="5" t="n">
        <f aca="false">(Q61/PI())*-180</f>
        <v>-15.321236703259</v>
      </c>
      <c r="O61" s="5"/>
      <c r="P61" s="2" t="n">
        <f aca="false">SQRT(C61^2+D61^2)</f>
        <v>306.605740324606</v>
      </c>
      <c r="Q61" s="2" t="n">
        <f aca="false">ATAN(F61/P61)</f>
        <v>0.267406025949271</v>
      </c>
    </row>
    <row r="62" customFormat="false" ht="15.75" hidden="false" customHeight="false" outlineLevel="0" collapsed="false">
      <c r="B62" s="1" t="s">
        <v>71</v>
      </c>
      <c r="C62" s="1" t="n">
        <v>-110.8</v>
      </c>
      <c r="D62" s="6" t="n">
        <v>296.2</v>
      </c>
      <c r="E62" s="1" t="n">
        <v>15</v>
      </c>
      <c r="F62" s="0" t="n">
        <f aca="false">E62+69</f>
        <v>84</v>
      </c>
      <c r="G62" s="2"/>
      <c r="H62" s="2" t="n">
        <v>61</v>
      </c>
      <c r="I62" s="2" t="n">
        <f aca="false">C62/248.3</f>
        <v>-0.446234393878373</v>
      </c>
      <c r="J62" s="2" t="n">
        <f aca="false">D62/315</f>
        <v>0.94031746031746</v>
      </c>
      <c r="K62" s="0" t="n">
        <f aca="false">F62/366</f>
        <v>0.229508196721311</v>
      </c>
      <c r="L62" s="2"/>
      <c r="M62" s="5" t="n">
        <v>180</v>
      </c>
      <c r="N62" s="5" t="n">
        <f aca="false">(Q62/PI())*-180</f>
        <v>-14.8752329016424</v>
      </c>
      <c r="O62" s="5"/>
      <c r="P62" s="2" t="n">
        <f aca="false">SQRT(C62^2+D62^2)</f>
        <v>316.245284549825</v>
      </c>
      <c r="Q62" s="2" t="n">
        <f aca="false">ATAN(F62/P62)</f>
        <v>0.25962179113465</v>
      </c>
    </row>
    <row r="63" customFormat="false" ht="15.75" hidden="false" customHeight="false" outlineLevel="0" collapsed="false">
      <c r="B63" s="1" t="s">
        <v>72</v>
      </c>
      <c r="C63" s="1" t="n">
        <v>-143.4</v>
      </c>
      <c r="D63" s="6" t="n">
        <v>296.2</v>
      </c>
      <c r="E63" s="1" t="n">
        <v>15</v>
      </c>
      <c r="F63" s="0" t="n">
        <f aca="false">E63+69</f>
        <v>84</v>
      </c>
      <c r="G63" s="2"/>
      <c r="H63" s="2" t="n">
        <v>62</v>
      </c>
      <c r="I63" s="2" t="n">
        <f aca="false">C63/248.3</f>
        <v>-0.577527184857028</v>
      </c>
      <c r="J63" s="2" t="n">
        <f aca="false">D63/315</f>
        <v>0.94031746031746</v>
      </c>
      <c r="K63" s="0" t="n">
        <f aca="false">F63/366</f>
        <v>0.229508196721311</v>
      </c>
      <c r="L63" s="2"/>
      <c r="M63" s="5" t="n">
        <v>180</v>
      </c>
      <c r="N63" s="5" t="n">
        <f aca="false">(Q63/PI())*-180</f>
        <v>-14.3191053104563</v>
      </c>
      <c r="O63" s="5"/>
      <c r="P63" s="2" t="n">
        <f aca="false">SQRT(C63^2+D63^2)</f>
        <v>329.08661473843</v>
      </c>
      <c r="Q63" s="2" t="n">
        <f aca="false">ATAN(F63/P63)</f>
        <v>0.249915533607268</v>
      </c>
    </row>
    <row r="64" customFormat="false" ht="15.75" hidden="false" customHeight="false" outlineLevel="0" collapsed="false">
      <c r="B64" s="1" t="s">
        <v>73</v>
      </c>
      <c r="C64" s="1" t="n">
        <v>-174</v>
      </c>
      <c r="D64" s="6" t="n">
        <v>296.2</v>
      </c>
      <c r="E64" s="1" t="n">
        <v>15</v>
      </c>
      <c r="F64" s="0" t="n">
        <f aca="false">E64+69</f>
        <v>84</v>
      </c>
      <c r="G64" s="2"/>
      <c r="H64" s="2" t="n">
        <v>63</v>
      </c>
      <c r="I64" s="2" t="n">
        <f aca="false">C64/248.3</f>
        <v>-0.700765203383004</v>
      </c>
      <c r="J64" s="2" t="n">
        <f aca="false">D64/315</f>
        <v>0.94031746031746</v>
      </c>
      <c r="K64" s="0" t="n">
        <f aca="false">F64/366</f>
        <v>0.229508196721311</v>
      </c>
      <c r="L64" s="2"/>
      <c r="M64" s="5" t="n">
        <v>180</v>
      </c>
      <c r="N64" s="5" t="n">
        <f aca="false">(Q64/PI())*-180</f>
        <v>-13.7404957436151</v>
      </c>
      <c r="O64" s="5"/>
      <c r="P64" s="2" t="n">
        <f aca="false">SQRT(C64^2+D64^2)</f>
        <v>343.526476417757</v>
      </c>
      <c r="Q64" s="2" t="n">
        <f aca="false">ATAN(F64/P64)</f>
        <v>0.23981689158235</v>
      </c>
    </row>
    <row r="65" customFormat="false" ht="15.75" hidden="false" customHeight="false" outlineLevel="0" collapsed="false">
      <c r="B65" s="1" t="s">
        <v>74</v>
      </c>
      <c r="C65" s="1" t="n">
        <v>-205.7</v>
      </c>
      <c r="D65" s="6" t="n">
        <v>296.2</v>
      </c>
      <c r="E65" s="1" t="n">
        <v>15</v>
      </c>
      <c r="F65" s="0" t="n">
        <f aca="false">E65+69</f>
        <v>84</v>
      </c>
      <c r="G65" s="2"/>
      <c r="H65" s="2" t="n">
        <v>64</v>
      </c>
      <c r="I65" s="2" t="n">
        <f aca="false">C65/248.3</f>
        <v>-0.828433346757954</v>
      </c>
      <c r="J65" s="2" t="n">
        <f aca="false">D65/315</f>
        <v>0.94031746031746</v>
      </c>
      <c r="K65" s="0" t="n">
        <f aca="false">F65/366</f>
        <v>0.229508196721311</v>
      </c>
      <c r="L65" s="2"/>
      <c r="M65" s="5" t="n">
        <v>180</v>
      </c>
      <c r="N65" s="5" t="n">
        <f aca="false">(Q65/PI())*-180</f>
        <v>-13.1122152381287</v>
      </c>
      <c r="O65" s="5"/>
      <c r="P65" s="2" t="n">
        <f aca="false">SQRT(C65^2+D65^2)</f>
        <v>360.620201874493</v>
      </c>
      <c r="Q65" s="2" t="n">
        <f aca="false">ATAN(F65/P65)</f>
        <v>0.228851328135517</v>
      </c>
    </row>
    <row r="66" customFormat="false" ht="15.75" hidden="false" customHeight="false" outlineLevel="0" collapsed="false">
      <c r="A66" s="2" t="s">
        <v>75</v>
      </c>
      <c r="B66" s="1" t="s">
        <v>76</v>
      </c>
      <c r="C66" s="8" t="n">
        <v>-241</v>
      </c>
      <c r="D66" s="1" t="n">
        <v>250.2</v>
      </c>
      <c r="E66" s="1" t="n">
        <v>105</v>
      </c>
      <c r="F66" s="0" t="n">
        <f aca="false">E66+69</f>
        <v>174</v>
      </c>
      <c r="G66" s="2"/>
      <c r="H66" s="2" t="n">
        <v>65</v>
      </c>
      <c r="I66" s="2" t="n">
        <f aca="false">C66/248.3</f>
        <v>-0.970600080547725</v>
      </c>
      <c r="J66" s="2" t="n">
        <f aca="false">D66/315</f>
        <v>0.794285714285714</v>
      </c>
      <c r="K66" s="0" t="n">
        <f aca="false">F66/366</f>
        <v>0.475409836065574</v>
      </c>
      <c r="L66" s="2"/>
      <c r="M66" s="5" t="n">
        <v>90</v>
      </c>
      <c r="N66" s="5" t="n">
        <f aca="false">(Q66/PI())*-180</f>
        <v>-26.6051637696678</v>
      </c>
      <c r="O66" s="5"/>
      <c r="P66" s="2" t="n">
        <f aca="false">SQRT(C66^2+D66^2)</f>
        <v>347.391767317534</v>
      </c>
      <c r="Q66" s="2" t="n">
        <f aca="false">ATAN(F66/P66)</f>
        <v>0.46434770581301</v>
      </c>
    </row>
    <row r="67" customFormat="false" ht="15.75" hidden="false" customHeight="false" outlineLevel="0" collapsed="false">
      <c r="B67" s="1" t="s">
        <v>77</v>
      </c>
      <c r="C67" s="8" t="n">
        <v>-241</v>
      </c>
      <c r="D67" s="1" t="n">
        <v>151.8</v>
      </c>
      <c r="E67" s="1" t="n">
        <v>105</v>
      </c>
      <c r="F67" s="0" t="n">
        <f aca="false">E67+69</f>
        <v>174</v>
      </c>
      <c r="G67" s="2"/>
      <c r="H67" s="2" t="n">
        <v>66</v>
      </c>
      <c r="I67" s="2" t="n">
        <f aca="false">C67/248.3</f>
        <v>-0.970600080547725</v>
      </c>
      <c r="J67" s="2" t="n">
        <f aca="false">D67/315</f>
        <v>0.481904761904762</v>
      </c>
      <c r="K67" s="0" t="n">
        <f aca="false">F67/366</f>
        <v>0.475409836065574</v>
      </c>
      <c r="L67" s="2"/>
      <c r="M67" s="5" t="n">
        <v>90</v>
      </c>
      <c r="N67" s="5" t="n">
        <f aca="false">(Q67/PI())*-180</f>
        <v>-31.4209811531991</v>
      </c>
      <c r="O67" s="5"/>
      <c r="P67" s="2" t="n">
        <f aca="false">SQRT(C67^2+D67^2)</f>
        <v>284.82317321454</v>
      </c>
      <c r="Q67" s="2" t="n">
        <f aca="false">ATAN(F67/P67)</f>
        <v>0.54839957533041</v>
      </c>
    </row>
    <row r="68" customFormat="false" ht="15.75" hidden="false" customHeight="false" outlineLevel="0" collapsed="false">
      <c r="B68" s="1" t="s">
        <v>78</v>
      </c>
      <c r="C68" s="8" t="n">
        <v>-241</v>
      </c>
      <c r="D68" s="1" t="n">
        <v>50.3</v>
      </c>
      <c r="E68" s="1" t="n">
        <v>105</v>
      </c>
      <c r="F68" s="0" t="n">
        <f aca="false">E68+69</f>
        <v>174</v>
      </c>
      <c r="G68" s="2"/>
      <c r="H68" s="2" t="n">
        <v>67</v>
      </c>
      <c r="I68" s="2" t="n">
        <f aca="false">C68/248.3</f>
        <v>-0.970600080547725</v>
      </c>
      <c r="J68" s="2" t="n">
        <f aca="false">D68/315</f>
        <v>0.15968253968254</v>
      </c>
      <c r="K68" s="0" t="n">
        <f aca="false">F68/366</f>
        <v>0.475409836065574</v>
      </c>
      <c r="L68" s="2"/>
      <c r="M68" s="5" t="n">
        <v>90</v>
      </c>
      <c r="N68" s="5" t="n">
        <f aca="false">(Q68/PI())*-180</f>
        <v>-35.2512185009514</v>
      </c>
      <c r="O68" s="5"/>
      <c r="P68" s="2" t="n">
        <f aca="false">SQRT(C68^2+D68^2)</f>
        <v>246.193196494135</v>
      </c>
      <c r="Q68" s="2" t="n">
        <f aca="false">ATAN(F68/P68)</f>
        <v>0.615249828181541</v>
      </c>
    </row>
    <row r="69" customFormat="false" ht="15.75" hidden="false" customHeight="false" outlineLevel="0" collapsed="false">
      <c r="B69" s="1" t="s">
        <v>79</v>
      </c>
      <c r="C69" s="8" t="n">
        <v>-241</v>
      </c>
      <c r="D69" s="1" t="n">
        <v>-51.1</v>
      </c>
      <c r="E69" s="1" t="n">
        <v>105</v>
      </c>
      <c r="F69" s="0" t="n">
        <f aca="false">E69+69</f>
        <v>174</v>
      </c>
      <c r="G69" s="2"/>
      <c r="H69" s="2" t="n">
        <v>68</v>
      </c>
      <c r="I69" s="2" t="n">
        <f aca="false">C69/248.3</f>
        <v>-0.970600080547725</v>
      </c>
      <c r="J69" s="2" t="n">
        <f aca="false">D69/315</f>
        <v>-0.162222222222222</v>
      </c>
      <c r="K69" s="0" t="n">
        <f aca="false">F69/366</f>
        <v>0.475409836065574</v>
      </c>
      <c r="L69" s="2"/>
      <c r="M69" s="5" t="n">
        <v>90</v>
      </c>
      <c r="N69" s="5" t="n">
        <f aca="false">(Q69/PI())*-180</f>
        <v>-35.2331612088001</v>
      </c>
      <c r="O69" s="5"/>
      <c r="P69" s="2" t="n">
        <f aca="false">SQRT(C69^2+D69^2)</f>
        <v>246.357890070523</v>
      </c>
      <c r="Q69" s="2" t="n">
        <f aca="false">ATAN(F69/P69)</f>
        <v>0.614934668979506</v>
      </c>
    </row>
    <row r="70" customFormat="false" ht="15.75" hidden="false" customHeight="false" outlineLevel="0" collapsed="false">
      <c r="B70" s="1" t="s">
        <v>80</v>
      </c>
      <c r="C70" s="8" t="n">
        <v>-241</v>
      </c>
      <c r="D70" s="1" t="n">
        <v>-153.6</v>
      </c>
      <c r="E70" s="1" t="n">
        <v>105</v>
      </c>
      <c r="F70" s="0" t="n">
        <f aca="false">E70+69</f>
        <v>174</v>
      </c>
      <c r="G70" s="2"/>
      <c r="H70" s="2" t="n">
        <v>69</v>
      </c>
      <c r="I70" s="2" t="n">
        <f aca="false">C70/248.3</f>
        <v>-0.970600080547725</v>
      </c>
      <c r="J70" s="2" t="n">
        <f aca="false">D70/315</f>
        <v>-0.487619047619048</v>
      </c>
      <c r="K70" s="0" t="n">
        <f aca="false">F70/366</f>
        <v>0.475409836065574</v>
      </c>
      <c r="L70" s="2"/>
      <c r="M70" s="5" t="n">
        <v>90</v>
      </c>
      <c r="N70" s="5" t="n">
        <f aca="false">(Q70/PI())*-180</f>
        <v>-31.3349770109613</v>
      </c>
      <c r="O70" s="5"/>
      <c r="P70" s="2" t="n">
        <f aca="false">SQRT(C70^2+D70^2)</f>
        <v>285.786563714951</v>
      </c>
      <c r="Q70" s="2" t="n">
        <f aca="false">ATAN(F70/P70)</f>
        <v>0.546898519878005</v>
      </c>
    </row>
    <row r="71" customFormat="false" ht="15.75" hidden="false" customHeight="false" outlineLevel="0" collapsed="false">
      <c r="B71" s="1" t="s">
        <v>81</v>
      </c>
      <c r="C71" s="8" t="n">
        <v>-241</v>
      </c>
      <c r="D71" s="1" t="n">
        <v>-252</v>
      </c>
      <c r="E71" s="1" t="n">
        <v>105</v>
      </c>
      <c r="F71" s="0" t="n">
        <f aca="false">E71+69</f>
        <v>174</v>
      </c>
      <c r="G71" s="2"/>
      <c r="H71" s="2" t="n">
        <v>70</v>
      </c>
      <c r="I71" s="2" t="n">
        <f aca="false">C71/248.3</f>
        <v>-0.970600080547725</v>
      </c>
      <c r="J71" s="2" t="n">
        <f aca="false">D71/315</f>
        <v>-0.8</v>
      </c>
      <c r="K71" s="0" t="n">
        <f aca="false">F71/366</f>
        <v>0.475409836065574</v>
      </c>
      <c r="L71" s="2"/>
      <c r="M71" s="5" t="n">
        <v>90</v>
      </c>
      <c r="N71" s="5" t="n">
        <f aca="false">(Q71/PI())*-180</f>
        <v>-26.5196549464503</v>
      </c>
      <c r="O71" s="5"/>
      <c r="P71" s="2" t="n">
        <f aca="false">SQRT(C71^2+D71^2)</f>
        <v>348.69040709489</v>
      </c>
      <c r="Q71" s="2" t="n">
        <f aca="false">ATAN(F71/P71)</f>
        <v>0.462855295308357</v>
      </c>
    </row>
    <row r="72" customFormat="false" ht="15.75" hidden="false" customHeight="false" outlineLevel="0" collapsed="false">
      <c r="B72" s="1" t="s">
        <v>82</v>
      </c>
      <c r="C72" s="1" t="n">
        <v>-152.4</v>
      </c>
      <c r="D72" s="4" t="n">
        <v>-291.8</v>
      </c>
      <c r="E72" s="1" t="n">
        <v>105</v>
      </c>
      <c r="F72" s="0" t="n">
        <f aca="false">E72+69</f>
        <v>174</v>
      </c>
      <c r="G72" s="2"/>
      <c r="H72" s="2" t="n">
        <v>71</v>
      </c>
      <c r="I72" s="2" t="n">
        <f aca="false">C72/248.3</f>
        <v>-0.61377366089408</v>
      </c>
      <c r="J72" s="2" t="n">
        <f aca="false">D72/315</f>
        <v>-0.926349206349206</v>
      </c>
      <c r="K72" s="0" t="n">
        <f aca="false">F72/366</f>
        <v>0.475409836065574</v>
      </c>
      <c r="L72" s="2"/>
      <c r="M72" s="5" t="n">
        <v>0</v>
      </c>
      <c r="N72" s="5" t="n">
        <f aca="false">(Q72/PI())*-180</f>
        <v>-27.8588340131097</v>
      </c>
      <c r="O72" s="5"/>
      <c r="P72" s="2" t="n">
        <f aca="false">SQRT(C72^2+D72^2)</f>
        <v>329.200546779619</v>
      </c>
      <c r="Q72" s="2" t="n">
        <f aca="false">ATAN(F72/P72)</f>
        <v>0.48622837929535</v>
      </c>
    </row>
    <row r="73" customFormat="false" ht="15.75" hidden="false" customHeight="false" outlineLevel="0" collapsed="false">
      <c r="B73" s="1" t="s">
        <v>83</v>
      </c>
      <c r="C73" s="1" t="n">
        <v>-52</v>
      </c>
      <c r="D73" s="4" t="n">
        <v>-291.8</v>
      </c>
      <c r="E73" s="1" t="n">
        <v>105</v>
      </c>
      <c r="F73" s="0" t="n">
        <f aca="false">E73+69</f>
        <v>174</v>
      </c>
      <c r="G73" s="2"/>
      <c r="H73" s="2" t="n">
        <v>72</v>
      </c>
      <c r="I73" s="2" t="n">
        <f aca="false">C73/248.3</f>
        <v>-0.209424083769634</v>
      </c>
      <c r="J73" s="2" t="n">
        <f aca="false">D73/315</f>
        <v>-0.926349206349206</v>
      </c>
      <c r="K73" s="0" t="n">
        <f aca="false">F73/366</f>
        <v>0.475409836065574</v>
      </c>
      <c r="L73" s="2"/>
      <c r="M73" s="5" t="n">
        <v>0</v>
      </c>
      <c r="N73" s="5" t="n">
        <f aca="false">(Q73/PI())*-180</f>
        <v>-30.4150766003347</v>
      </c>
      <c r="O73" s="5"/>
      <c r="P73" s="2" t="n">
        <f aca="false">SQRT(C73^2+D73^2)</f>
        <v>296.397098501318</v>
      </c>
      <c r="Q73" s="2" t="n">
        <f aca="false">ATAN(F73/P73)</f>
        <v>0.530843228922123</v>
      </c>
    </row>
    <row r="74" customFormat="false" ht="15.75" hidden="false" customHeight="false" outlineLevel="0" collapsed="false">
      <c r="B74" s="1" t="s">
        <v>84</v>
      </c>
      <c r="C74" s="1" t="n">
        <v>52.5</v>
      </c>
      <c r="D74" s="4" t="n">
        <v>-291.8</v>
      </c>
      <c r="E74" s="1" t="n">
        <v>105</v>
      </c>
      <c r="F74" s="0" t="n">
        <f aca="false">E74+69</f>
        <v>174</v>
      </c>
      <c r="G74" s="2"/>
      <c r="H74" s="2" t="n">
        <v>73</v>
      </c>
      <c r="I74" s="2" t="n">
        <f aca="false">C74/248.3</f>
        <v>0.211437776882803</v>
      </c>
      <c r="J74" s="2" t="n">
        <f aca="false">D74/315</f>
        <v>-0.926349206349206</v>
      </c>
      <c r="K74" s="0" t="n">
        <f aca="false">F74/366</f>
        <v>0.475409836065574</v>
      </c>
      <c r="L74" s="2"/>
      <c r="M74" s="5" t="n">
        <v>0</v>
      </c>
      <c r="N74" s="5" t="n">
        <f aca="false">(Q74/PI())*-180</f>
        <v>-30.4076405282942</v>
      </c>
      <c r="O74" s="5"/>
      <c r="P74" s="2" t="n">
        <f aca="false">SQRT(C74^2+D74^2)</f>
        <v>296.485227287971</v>
      </c>
      <c r="Q74" s="2" t="n">
        <f aca="false">ATAN(F74/P74)</f>
        <v>0.530713444981602</v>
      </c>
    </row>
    <row r="75" customFormat="false" ht="15.75" hidden="false" customHeight="false" outlineLevel="0" collapsed="false">
      <c r="B75" s="1" t="s">
        <v>85</v>
      </c>
      <c r="C75" s="1" t="n">
        <v>150.9</v>
      </c>
      <c r="D75" s="4" t="n">
        <v>-291.8</v>
      </c>
      <c r="E75" s="1" t="n">
        <v>105</v>
      </c>
      <c r="F75" s="0" t="n">
        <f aca="false">E75+69</f>
        <v>174</v>
      </c>
      <c r="G75" s="2"/>
      <c r="H75" s="2" t="n">
        <v>74</v>
      </c>
      <c r="I75" s="2" t="n">
        <f aca="false">C75/248.3</f>
        <v>0.607732581554571</v>
      </c>
      <c r="J75" s="2" t="n">
        <f aca="false">D75/315</f>
        <v>-0.926349206349206</v>
      </c>
      <c r="K75" s="0" t="n">
        <f aca="false">F75/366</f>
        <v>0.475409836065574</v>
      </c>
      <c r="L75" s="2"/>
      <c r="M75" s="5" t="n">
        <v>0</v>
      </c>
      <c r="N75" s="5" t="n">
        <f aca="false">(Q75/PI())*-180</f>
        <v>-27.9086534173193</v>
      </c>
      <c r="O75" s="5"/>
      <c r="P75" s="2" t="n">
        <f aca="false">SQRT(C75^2+D75^2)</f>
        <v>328.508827887471</v>
      </c>
      <c r="Q75" s="2" t="n">
        <f aca="false">ATAN(F75/P75)</f>
        <v>0.487097891930189</v>
      </c>
    </row>
    <row r="76" customFormat="false" ht="15.75" hidden="false" customHeight="false" outlineLevel="0" collapsed="false">
      <c r="B76" s="1" t="s">
        <v>86</v>
      </c>
      <c r="C76" s="7" t="n">
        <v>241.4</v>
      </c>
      <c r="D76" s="1" t="n">
        <v>-252</v>
      </c>
      <c r="E76" s="1" t="n">
        <v>105</v>
      </c>
      <c r="F76" s="0" t="n">
        <f aca="false">E76+69</f>
        <v>174</v>
      </c>
      <c r="G76" s="2"/>
      <c r="H76" s="2" t="n">
        <v>75</v>
      </c>
      <c r="I76" s="2" t="n">
        <f aca="false">C76/248.3</f>
        <v>0.97221103503826</v>
      </c>
      <c r="J76" s="2" t="n">
        <f aca="false">D76/315</f>
        <v>-0.8</v>
      </c>
      <c r="K76" s="0" t="n">
        <f aca="false">F76/366</f>
        <v>0.475409836065574</v>
      </c>
      <c r="L76" s="2"/>
      <c r="M76" s="5" t="n">
        <v>270</v>
      </c>
      <c r="N76" s="5" t="n">
        <f aca="false">(Q76/PI())*-180</f>
        <v>-26.5015091940776</v>
      </c>
      <c r="O76" s="5"/>
      <c r="P76" s="2" t="n">
        <f aca="false">SQRT(C76^2+D76^2)</f>
        <v>348.966989842879</v>
      </c>
      <c r="Q76" s="2" t="n">
        <f aca="false">ATAN(F76/P76)</f>
        <v>0.462538592184203</v>
      </c>
    </row>
    <row r="77" customFormat="false" ht="15.75" hidden="false" customHeight="false" outlineLevel="0" collapsed="false">
      <c r="B77" s="1" t="s">
        <v>87</v>
      </c>
      <c r="C77" s="7" t="n">
        <v>241.4</v>
      </c>
      <c r="D77" s="1" t="n">
        <v>-154.6</v>
      </c>
      <c r="E77" s="1" t="n">
        <v>105</v>
      </c>
      <c r="F77" s="0" t="n">
        <f aca="false">E77+69</f>
        <v>174</v>
      </c>
      <c r="G77" s="2"/>
      <c r="H77" s="2" t="n">
        <v>76</v>
      </c>
      <c r="I77" s="2" t="n">
        <f aca="false">C77/248.3</f>
        <v>0.97221103503826</v>
      </c>
      <c r="J77" s="2" t="n">
        <f aca="false">D77/315</f>
        <v>-0.490793650793651</v>
      </c>
      <c r="K77" s="0" t="n">
        <f aca="false">F77/366</f>
        <v>0.475409836065574</v>
      </c>
      <c r="L77" s="2"/>
      <c r="M77" s="5" t="n">
        <v>270</v>
      </c>
      <c r="N77" s="5" t="n">
        <f aca="false">(Q77/PI())*-180</f>
        <v>-31.257188034505</v>
      </c>
      <c r="O77" s="5"/>
      <c r="P77" s="2" t="n">
        <f aca="false">SQRT(C77^2+D77^2)</f>
        <v>286.66203097027</v>
      </c>
      <c r="Q77" s="2" t="n">
        <f aca="false">ATAN(F77/P77)</f>
        <v>0.545540846117087</v>
      </c>
    </row>
    <row r="78" customFormat="false" ht="15.75" hidden="false" customHeight="false" outlineLevel="0" collapsed="false">
      <c r="B78" s="1" t="s">
        <v>88</v>
      </c>
      <c r="C78" s="7" t="n">
        <v>241.4</v>
      </c>
      <c r="D78" s="1" t="n">
        <v>-50.1</v>
      </c>
      <c r="E78" s="1" t="n">
        <v>105</v>
      </c>
      <c r="F78" s="0" t="n">
        <f aca="false">E78+69</f>
        <v>174</v>
      </c>
      <c r="G78" s="2"/>
      <c r="H78" s="2" t="n">
        <v>77</v>
      </c>
      <c r="I78" s="2" t="n">
        <f aca="false">C78/248.3</f>
        <v>0.97221103503826</v>
      </c>
      <c r="J78" s="2" t="n">
        <f aca="false">D78/315</f>
        <v>-0.159047619047619</v>
      </c>
      <c r="K78" s="0" t="n">
        <f aca="false">F78/366</f>
        <v>0.475409836065574</v>
      </c>
      <c r="L78" s="2"/>
      <c r="M78" s="5" t="n">
        <v>270</v>
      </c>
      <c r="N78" s="5" t="n">
        <f aca="false">(Q78/PI())*-180</f>
        <v>-35.2127693794205</v>
      </c>
      <c r="O78" s="5"/>
      <c r="P78" s="2" t="n">
        <f aca="false">SQRT(C78^2+D78^2)</f>
        <v>246.544052858713</v>
      </c>
      <c r="Q78" s="2" t="n">
        <f aca="false">ATAN(F78/P78)</f>
        <v>0.614578764416327</v>
      </c>
    </row>
    <row r="79" customFormat="false" ht="15.75" hidden="false" customHeight="false" outlineLevel="0" collapsed="false">
      <c r="B79" s="1" t="s">
        <v>89</v>
      </c>
      <c r="C79" s="7" t="n">
        <v>241.4</v>
      </c>
      <c r="D79" s="1" t="n">
        <v>49.3</v>
      </c>
      <c r="E79" s="1" t="n">
        <v>105</v>
      </c>
      <c r="F79" s="0" t="n">
        <f aca="false">E79+69</f>
        <v>174</v>
      </c>
      <c r="G79" s="2"/>
      <c r="H79" s="2" t="n">
        <v>78</v>
      </c>
      <c r="I79" s="2" t="n">
        <f aca="false">C79/248.3</f>
        <v>0.97221103503826</v>
      </c>
      <c r="J79" s="2" t="n">
        <f aca="false">D79/315</f>
        <v>0.156507936507937</v>
      </c>
      <c r="K79" s="0" t="n">
        <f aca="false">F79/366</f>
        <v>0.475409836065574</v>
      </c>
      <c r="L79" s="2"/>
      <c r="M79" s="5" t="n">
        <v>270</v>
      </c>
      <c r="N79" s="5" t="n">
        <f aca="false">(Q79/PI())*-180</f>
        <v>-35.2304390336351</v>
      </c>
      <c r="O79" s="5"/>
      <c r="P79" s="2" t="n">
        <f aca="false">SQRT(C79^2+D79^2)</f>
        <v>246.382730725999</v>
      </c>
      <c r="Q79" s="2" t="n">
        <f aca="false">ATAN(F79/P79)</f>
        <v>0.614887158060062</v>
      </c>
    </row>
    <row r="80" customFormat="false" ht="15.75" hidden="false" customHeight="false" outlineLevel="0" collapsed="false">
      <c r="B80" s="1" t="s">
        <v>90</v>
      </c>
      <c r="C80" s="7" t="n">
        <v>241.4</v>
      </c>
      <c r="D80" s="1" t="n">
        <v>149.8</v>
      </c>
      <c r="E80" s="1" t="n">
        <v>105</v>
      </c>
      <c r="F80" s="0" t="n">
        <f aca="false">E80+69</f>
        <v>174</v>
      </c>
      <c r="G80" s="2"/>
      <c r="H80" s="2" t="n">
        <v>79</v>
      </c>
      <c r="I80" s="2" t="n">
        <f aca="false">C80/248.3</f>
        <v>0.97221103503826</v>
      </c>
      <c r="J80" s="2" t="n">
        <f aca="false">D80/315</f>
        <v>0.475555555555556</v>
      </c>
      <c r="K80" s="0" t="n">
        <f aca="false">F80/366</f>
        <v>0.475409836065574</v>
      </c>
      <c r="L80" s="2"/>
      <c r="M80" s="5" t="n">
        <v>270</v>
      </c>
      <c r="N80" s="5" t="n">
        <f aca="false">(Q80/PI())*-180</f>
        <v>-31.4856313371611</v>
      </c>
      <c r="O80" s="5"/>
      <c r="P80" s="2" t="n">
        <f aca="false">SQRT(C80^2+D80^2)</f>
        <v>284.102094325262</v>
      </c>
      <c r="Q80" s="2" t="n">
        <f aca="false">ATAN(F80/P80)</f>
        <v>0.549527933902566</v>
      </c>
    </row>
    <row r="81" customFormat="false" ht="15.75" hidden="false" customHeight="false" outlineLevel="0" collapsed="false">
      <c r="B81" s="1" t="s">
        <v>91</v>
      </c>
      <c r="C81" s="7" t="n">
        <v>241.4</v>
      </c>
      <c r="D81" s="1" t="n">
        <v>250.2</v>
      </c>
      <c r="E81" s="1" t="n">
        <v>105</v>
      </c>
      <c r="F81" s="0" t="n">
        <f aca="false">E81+69</f>
        <v>174</v>
      </c>
      <c r="G81" s="2"/>
      <c r="H81" s="2" t="n">
        <v>80</v>
      </c>
      <c r="I81" s="2" t="n">
        <f aca="false">C81/248.3</f>
        <v>0.97221103503826</v>
      </c>
      <c r="J81" s="2" t="n">
        <f aca="false">D81/315</f>
        <v>0.794285714285714</v>
      </c>
      <c r="K81" s="0" t="n">
        <f aca="false">F81/366</f>
        <v>0.475409836065574</v>
      </c>
      <c r="L81" s="2"/>
      <c r="M81" s="5" t="n">
        <v>270</v>
      </c>
      <c r="N81" s="5" t="n">
        <f aca="false">(Q81/PI())*-180</f>
        <v>-26.5868412413252</v>
      </c>
      <c r="O81" s="5"/>
      <c r="P81" s="2" t="n">
        <f aca="false">SQRT(C81^2+D81^2)</f>
        <v>347.669383178905</v>
      </c>
      <c r="Q81" s="2" t="n">
        <f aca="false">ATAN(F81/P81)</f>
        <v>0.464027917366141</v>
      </c>
    </row>
    <row r="82" customFormat="false" ht="15.75" hidden="false" customHeight="false" outlineLevel="0" collapsed="false">
      <c r="B82" s="1" t="s">
        <v>92</v>
      </c>
      <c r="C82" s="1" t="n">
        <v>153.9</v>
      </c>
      <c r="D82" s="6" t="n">
        <v>291</v>
      </c>
      <c r="E82" s="1" t="n">
        <v>105</v>
      </c>
      <c r="F82" s="0" t="n">
        <f aca="false">E82+69</f>
        <v>174</v>
      </c>
      <c r="G82" s="2"/>
      <c r="H82" s="2" t="n">
        <v>81</v>
      </c>
      <c r="I82" s="2" t="n">
        <f aca="false">C82/248.3</f>
        <v>0.619814740233588</v>
      </c>
      <c r="J82" s="2" t="n">
        <f aca="false">D82/315</f>
        <v>0.923809523809524</v>
      </c>
      <c r="K82" s="0" t="n">
        <f aca="false">F82/366</f>
        <v>0.475409836065574</v>
      </c>
      <c r="L82" s="2"/>
      <c r="M82" s="5" t="n">
        <v>180</v>
      </c>
      <c r="N82" s="5" t="n">
        <f aca="false">(Q82/PI())*-180</f>
        <v>-27.8595755825204</v>
      </c>
      <c r="O82" s="5"/>
      <c r="P82" s="2" t="n">
        <f aca="false">SQRT(C82^2+D82^2)</f>
        <v>329.190233755499</v>
      </c>
      <c r="Q82" s="2" t="n">
        <f aca="false">ATAN(F82/P82)</f>
        <v>0.486241322123198</v>
      </c>
    </row>
    <row r="83" customFormat="false" ht="15.75" hidden="false" customHeight="false" outlineLevel="0" collapsed="false">
      <c r="B83" s="1" t="s">
        <v>93</v>
      </c>
      <c r="C83" s="1" t="n">
        <v>51.5</v>
      </c>
      <c r="D83" s="6" t="n">
        <v>291</v>
      </c>
      <c r="E83" s="1" t="n">
        <v>105</v>
      </c>
      <c r="F83" s="0" t="n">
        <f aca="false">E83+69</f>
        <v>174</v>
      </c>
      <c r="G83" s="2"/>
      <c r="H83" s="2" t="n">
        <v>82</v>
      </c>
      <c r="I83" s="2" t="n">
        <f aca="false">C83/248.3</f>
        <v>0.207410390656464</v>
      </c>
      <c r="J83" s="2" t="n">
        <f aca="false">D83/315</f>
        <v>0.923809523809524</v>
      </c>
      <c r="K83" s="0" t="n">
        <f aca="false">F83/366</f>
        <v>0.475409836065574</v>
      </c>
      <c r="L83" s="2"/>
      <c r="M83" s="5" t="n">
        <v>180</v>
      </c>
      <c r="N83" s="5" t="n">
        <f aca="false">(Q83/PI())*-180</f>
        <v>-30.4890942445579</v>
      </c>
      <c r="O83" s="5"/>
      <c r="P83" s="2" t="n">
        <f aca="false">SQRT(C83^2+D83^2)</f>
        <v>295.521995797267</v>
      </c>
      <c r="Q83" s="2" t="n">
        <f aca="false">ATAN(F83/P83)</f>
        <v>0.532135080518388</v>
      </c>
    </row>
    <row r="84" customFormat="false" ht="15.75" hidden="false" customHeight="false" outlineLevel="0" collapsed="false">
      <c r="B84" s="1" t="s">
        <v>94</v>
      </c>
      <c r="C84" s="1" t="n">
        <v>-50</v>
      </c>
      <c r="D84" s="6" t="n">
        <v>291</v>
      </c>
      <c r="E84" s="1" t="n">
        <v>105</v>
      </c>
      <c r="F84" s="0" t="n">
        <f aca="false">E84+69</f>
        <v>174</v>
      </c>
      <c r="G84" s="2"/>
      <c r="H84" s="2" t="n">
        <v>83</v>
      </c>
      <c r="I84" s="2" t="n">
        <f aca="false">C84/248.3</f>
        <v>-0.201369311316955</v>
      </c>
      <c r="J84" s="2" t="n">
        <f aca="false">D84/315</f>
        <v>0.923809523809524</v>
      </c>
      <c r="K84" s="0" t="n">
        <f aca="false">F84/366</f>
        <v>0.475409836065574</v>
      </c>
      <c r="L84" s="2"/>
      <c r="M84" s="5" t="n">
        <v>180</v>
      </c>
      <c r="N84" s="5" t="n">
        <f aca="false">(Q84/PI())*-180</f>
        <v>-30.5109536626225</v>
      </c>
      <c r="O84" s="5"/>
      <c r="P84" s="2" t="n">
        <f aca="false">SQRT(C84^2+D84^2)</f>
        <v>295.26428839262</v>
      </c>
      <c r="Q84" s="2" t="n">
        <f aca="false">ATAN(F84/P84)</f>
        <v>0.532516599336185</v>
      </c>
    </row>
    <row r="85" customFormat="false" ht="15.75" hidden="false" customHeight="false" outlineLevel="0" collapsed="false">
      <c r="B85" s="1" t="s">
        <v>95</v>
      </c>
      <c r="C85" s="1" t="n">
        <v>-150.4</v>
      </c>
      <c r="D85" s="6" t="n">
        <v>291</v>
      </c>
      <c r="E85" s="1" t="n">
        <v>105</v>
      </c>
      <c r="F85" s="0" t="n">
        <f aca="false">E85+69</f>
        <v>174</v>
      </c>
      <c r="G85" s="2"/>
      <c r="H85" s="2" t="n">
        <v>84</v>
      </c>
      <c r="I85" s="2" t="n">
        <f aca="false">C85/248.3</f>
        <v>-0.605718888441402</v>
      </c>
      <c r="J85" s="2" t="n">
        <f aca="false">D85/315</f>
        <v>0.923809523809524</v>
      </c>
      <c r="K85" s="0" t="n">
        <f aca="false">F85/366</f>
        <v>0.475409836065574</v>
      </c>
      <c r="L85" s="2"/>
      <c r="M85" s="5" t="n">
        <v>180</v>
      </c>
      <c r="N85" s="5" t="n">
        <f aca="false">(Q85/PI())*-180</f>
        <v>-27.9766374311603</v>
      </c>
      <c r="O85" s="5"/>
      <c r="P85" s="2" t="n">
        <f aca="false">SQRT(C85^2+D85^2)</f>
        <v>327.56855770968</v>
      </c>
      <c r="Q85" s="2" t="n">
        <f aca="false">ATAN(F85/P85)</f>
        <v>0.488284436810435</v>
      </c>
    </row>
    <row r="86" customFormat="false" ht="15.75" hidden="false" customHeight="false" outlineLevel="0" collapsed="false">
      <c r="A86" s="2" t="s">
        <v>96</v>
      </c>
      <c r="B86" s="1" t="s">
        <v>97</v>
      </c>
      <c r="C86" s="9" t="n">
        <v>-243.4</v>
      </c>
      <c r="D86" s="1" t="n">
        <v>202</v>
      </c>
      <c r="E86" s="1" t="n">
        <v>198</v>
      </c>
      <c r="F86" s="0" t="n">
        <f aca="false">E86+69</f>
        <v>267</v>
      </c>
      <c r="G86" s="2"/>
      <c r="H86" s="2" t="n">
        <v>85</v>
      </c>
      <c r="I86" s="2" t="n">
        <f aca="false">C86/248.3</f>
        <v>-0.980265807490938</v>
      </c>
      <c r="J86" s="2" t="n">
        <f aca="false">D86/315</f>
        <v>0.641269841269841</v>
      </c>
      <c r="K86" s="0" t="n">
        <f aca="false">F86/366</f>
        <v>0.729508196721312</v>
      </c>
      <c r="L86" s="2"/>
      <c r="M86" s="5" t="n">
        <v>90</v>
      </c>
      <c r="N86" s="5" t="n">
        <f aca="false">(Q86/PI())*-180</f>
        <v>-40.1686292735389</v>
      </c>
      <c r="O86" s="5"/>
      <c r="P86" s="2" t="n">
        <f aca="false">SQRT(C86^2+D86^2)</f>
        <v>316.302956040566</v>
      </c>
      <c r="Q86" s="2" t="n">
        <f aca="false">ATAN(F86/P86)</f>
        <v>0.701074836836232</v>
      </c>
    </row>
    <row r="87" customFormat="false" ht="15.75" hidden="false" customHeight="false" outlineLevel="0" collapsed="false">
      <c r="B87" s="1" t="s">
        <v>98</v>
      </c>
      <c r="C87" s="9" t="n">
        <v>-243.4</v>
      </c>
      <c r="D87" s="1" t="n">
        <v>96.9</v>
      </c>
      <c r="E87" s="1" t="n">
        <v>198</v>
      </c>
      <c r="F87" s="0" t="n">
        <f aca="false">E87+69</f>
        <v>267</v>
      </c>
      <c r="G87" s="2"/>
      <c r="H87" s="2" t="n">
        <v>86</v>
      </c>
      <c r="I87" s="2" t="n">
        <f aca="false">C87/248.3</f>
        <v>-0.980265807490938</v>
      </c>
      <c r="J87" s="2" t="n">
        <f aca="false">D87/315</f>
        <v>0.307619047619048</v>
      </c>
      <c r="K87" s="0" t="n">
        <f aca="false">F87/366</f>
        <v>0.729508196721312</v>
      </c>
      <c r="L87" s="2"/>
      <c r="M87" s="5" t="n">
        <v>90</v>
      </c>
      <c r="N87" s="5" t="n">
        <f aca="false">(Q87/PI())*-180</f>
        <v>-45.5437915538738</v>
      </c>
      <c r="O87" s="5"/>
      <c r="P87" s="2" t="n">
        <f aca="false">SQRT(C87^2+D87^2)</f>
        <v>261.979331245807</v>
      </c>
      <c r="Q87" s="2" t="n">
        <f aca="false">ATAN(F87/P87)</f>
        <v>0.794889116457082</v>
      </c>
    </row>
    <row r="88" customFormat="false" ht="15.75" hidden="false" customHeight="false" outlineLevel="0" collapsed="false">
      <c r="B88" s="1" t="s">
        <v>99</v>
      </c>
      <c r="C88" s="9" t="n">
        <v>-243.4</v>
      </c>
      <c r="D88" s="1" t="n">
        <v>-0.2</v>
      </c>
      <c r="E88" s="1" t="n">
        <v>198</v>
      </c>
      <c r="F88" s="0" t="n">
        <f aca="false">E88+69</f>
        <v>267</v>
      </c>
      <c r="G88" s="2"/>
      <c r="H88" s="2" t="n">
        <v>87</v>
      </c>
      <c r="I88" s="2" t="n">
        <f aca="false">C88/248.3</f>
        <v>-0.980265807490938</v>
      </c>
      <c r="J88" s="2" t="n">
        <f aca="false">D88/315</f>
        <v>-0.000634920634920635</v>
      </c>
      <c r="K88" s="0" t="n">
        <f aca="false">F88/366</f>
        <v>0.729508196721312</v>
      </c>
      <c r="L88" s="2"/>
      <c r="M88" s="5" t="n">
        <v>90</v>
      </c>
      <c r="N88" s="5" t="n">
        <f aca="false">(Q88/PI())*-180</f>
        <v>-47.6473610362421</v>
      </c>
      <c r="O88" s="5"/>
      <c r="P88" s="2" t="n">
        <f aca="false">SQRT(C88^2+D88^2)</f>
        <v>243.400082169255</v>
      </c>
      <c r="Q88" s="2" t="n">
        <f aca="false">ATAN(F88/P88)</f>
        <v>0.831603329968882</v>
      </c>
    </row>
    <row r="89" customFormat="false" ht="15.75" hidden="false" customHeight="false" outlineLevel="0" collapsed="false">
      <c r="B89" s="1" t="s">
        <v>100</v>
      </c>
      <c r="C89" s="9" t="n">
        <v>-243.4</v>
      </c>
      <c r="D89" s="1" t="n">
        <v>-100.4</v>
      </c>
      <c r="E89" s="1" t="n">
        <v>198</v>
      </c>
      <c r="F89" s="0" t="n">
        <f aca="false">E89+69</f>
        <v>267</v>
      </c>
      <c r="G89" s="2"/>
      <c r="H89" s="2" t="n">
        <v>88</v>
      </c>
      <c r="I89" s="2" t="n">
        <f aca="false">C89/248.3</f>
        <v>-0.980265807490938</v>
      </c>
      <c r="J89" s="2" t="n">
        <f aca="false">D89/315</f>
        <v>-0.318730158730159</v>
      </c>
      <c r="K89" s="0" t="n">
        <f aca="false">F89/366</f>
        <v>0.729508196721312</v>
      </c>
      <c r="L89" s="2"/>
      <c r="M89" s="5" t="n">
        <v>90</v>
      </c>
      <c r="N89" s="5" t="n">
        <f aca="false">(Q89/PI())*-180</f>
        <v>-45.4004115556158</v>
      </c>
      <c r="O89" s="5"/>
      <c r="P89" s="2" t="n">
        <f aca="false">SQRT(C89^2+D89^2)</f>
        <v>263.293980181849</v>
      </c>
      <c r="Q89" s="2" t="n">
        <f aca="false">ATAN(F89/P89)</f>
        <v>0.792386663405977</v>
      </c>
    </row>
    <row r="90" customFormat="false" ht="15.75" hidden="false" customHeight="false" outlineLevel="0" collapsed="false">
      <c r="B90" s="1" t="s">
        <v>101</v>
      </c>
      <c r="C90" s="9" t="n">
        <v>-243.4</v>
      </c>
      <c r="D90" s="1" t="n">
        <v>-200.5</v>
      </c>
      <c r="E90" s="1" t="n">
        <v>198</v>
      </c>
      <c r="F90" s="0" t="n">
        <f aca="false">E90+69</f>
        <v>267</v>
      </c>
      <c r="G90" s="2"/>
      <c r="H90" s="2" t="n">
        <v>89</v>
      </c>
      <c r="I90" s="2" t="n">
        <f aca="false">C90/248.3</f>
        <v>-0.980265807490938</v>
      </c>
      <c r="J90" s="2" t="n">
        <f aca="false">D90/315</f>
        <v>-0.636507936507937</v>
      </c>
      <c r="K90" s="0" t="n">
        <f aca="false">F90/366</f>
        <v>0.729508196721312</v>
      </c>
      <c r="L90" s="2"/>
      <c r="M90" s="5" t="n">
        <v>90</v>
      </c>
      <c r="N90" s="5" t="n">
        <f aca="false">(Q90/PI())*-180</f>
        <v>-40.2541223855504</v>
      </c>
      <c r="O90" s="5"/>
      <c r="P90" s="2" t="n">
        <f aca="false">SQRT(C90^2+D90^2)</f>
        <v>315.34712619588</v>
      </c>
      <c r="Q90" s="2" t="n">
        <f aca="false">ATAN(F90/P90)</f>
        <v>0.702566973128609</v>
      </c>
    </row>
    <row r="91" customFormat="false" ht="15.75" hidden="false" customHeight="false" outlineLevel="0" collapsed="false">
      <c r="B91" s="1" t="s">
        <v>102</v>
      </c>
      <c r="C91" s="1" t="n">
        <v>-208.9</v>
      </c>
      <c r="D91" s="6" t="n">
        <v>-291.8</v>
      </c>
      <c r="E91" s="1" t="n">
        <v>198</v>
      </c>
      <c r="F91" s="0" t="n">
        <f aca="false">E91+69</f>
        <v>267</v>
      </c>
      <c r="G91" s="2"/>
      <c r="H91" s="2" t="n">
        <v>90</v>
      </c>
      <c r="I91" s="2" t="n">
        <f aca="false">C91/248.3</f>
        <v>-0.841320982682239</v>
      </c>
      <c r="J91" s="2" t="n">
        <f aca="false">D91/315</f>
        <v>-0.926349206349206</v>
      </c>
      <c r="K91" s="0" t="n">
        <f aca="false">F91/366</f>
        <v>0.729508196721312</v>
      </c>
      <c r="L91" s="2"/>
      <c r="M91" s="5" t="n">
        <v>0</v>
      </c>
      <c r="N91" s="5" t="n">
        <f aca="false">(Q91/PI())*-180</f>
        <v>-36.6494521634953</v>
      </c>
      <c r="O91" s="5"/>
      <c r="P91" s="2" t="n">
        <f aca="false">SQRT(C91^2+D91^2)</f>
        <v>358.868290602555</v>
      </c>
      <c r="Q91" s="2" t="n">
        <f aca="false">ATAN(F91/P91)</f>
        <v>0.639653609305153</v>
      </c>
    </row>
    <row r="92" customFormat="false" ht="15.75" hidden="false" customHeight="false" outlineLevel="0" collapsed="false">
      <c r="B92" s="1" t="s">
        <v>103</v>
      </c>
      <c r="C92" s="1" t="n">
        <v>-104.7</v>
      </c>
      <c r="D92" s="6" t="n">
        <v>-291.8</v>
      </c>
      <c r="E92" s="1" t="n">
        <v>198</v>
      </c>
      <c r="F92" s="0" t="n">
        <f aca="false">E92+69</f>
        <v>267</v>
      </c>
      <c r="G92" s="2"/>
      <c r="H92" s="2" t="n">
        <v>91</v>
      </c>
      <c r="I92" s="2" t="n">
        <f aca="false">C92/248.3</f>
        <v>-0.421667337897704</v>
      </c>
      <c r="J92" s="2" t="n">
        <f aca="false">D92/315</f>
        <v>-0.926349206349206</v>
      </c>
      <c r="K92" s="0" t="n">
        <f aca="false">F92/366</f>
        <v>0.729508196721312</v>
      </c>
      <c r="L92" s="2"/>
      <c r="M92" s="5" t="n">
        <v>0</v>
      </c>
      <c r="N92" s="5" t="n">
        <f aca="false">(Q92/PI())*-180</f>
        <v>-40.7366270103348</v>
      </c>
      <c r="O92" s="5"/>
      <c r="P92" s="2" t="n">
        <f aca="false">SQRT(C92^2+D92^2)</f>
        <v>310.015048021866</v>
      </c>
      <c r="Q92" s="2" t="n">
        <f aca="false">ATAN(F92/P92)</f>
        <v>0.710988267487196</v>
      </c>
    </row>
    <row r="93" customFormat="false" ht="15.75" hidden="false" customHeight="false" outlineLevel="0" collapsed="false">
      <c r="B93" s="1" t="s">
        <v>104</v>
      </c>
      <c r="C93" s="1" t="n">
        <v>-7.6</v>
      </c>
      <c r="D93" s="6" t="n">
        <v>-291.8</v>
      </c>
      <c r="E93" s="1" t="n">
        <v>198</v>
      </c>
      <c r="F93" s="0" t="n">
        <f aca="false">E93+69</f>
        <v>267</v>
      </c>
      <c r="G93" s="2"/>
      <c r="H93" s="2" t="n">
        <v>92</v>
      </c>
      <c r="I93" s="2" t="n">
        <f aca="false">C93/248.3</f>
        <v>-0.0306081353201772</v>
      </c>
      <c r="J93" s="2" t="n">
        <f aca="false">D93/315</f>
        <v>-0.926349206349206</v>
      </c>
      <c r="K93" s="0" t="n">
        <f aca="false">F93/366</f>
        <v>0.729508196721312</v>
      </c>
      <c r="L93" s="2"/>
      <c r="M93" s="5" t="n">
        <v>0</v>
      </c>
      <c r="N93" s="5" t="n">
        <f aca="false">(Q93/PI())*-180</f>
        <v>-42.4491590011884</v>
      </c>
      <c r="O93" s="5"/>
      <c r="P93" s="2" t="n">
        <f aca="false">SQRT(C93^2+D93^2)</f>
        <v>291.898955119747</v>
      </c>
      <c r="Q93" s="2" t="n">
        <f aca="false">ATAN(F93/P93)</f>
        <v>0.740877589273326</v>
      </c>
    </row>
    <row r="94" customFormat="false" ht="15.75" hidden="false" customHeight="false" outlineLevel="0" collapsed="false">
      <c r="B94" s="1" t="s">
        <v>105</v>
      </c>
      <c r="C94" s="1" t="n">
        <v>92.5</v>
      </c>
      <c r="D94" s="6" t="n">
        <v>-291.8</v>
      </c>
      <c r="E94" s="1" t="n">
        <v>198</v>
      </c>
      <c r="F94" s="0" t="n">
        <f aca="false">E94+69</f>
        <v>267</v>
      </c>
      <c r="G94" s="2"/>
      <c r="H94" s="2" t="n">
        <v>93</v>
      </c>
      <c r="I94" s="2" t="n">
        <f aca="false">C94/248.3</f>
        <v>0.372533225936367</v>
      </c>
      <c r="J94" s="2" t="n">
        <f aca="false">D94/315</f>
        <v>-0.926349206349206</v>
      </c>
      <c r="K94" s="0" t="n">
        <f aca="false">F94/366</f>
        <v>0.729508196721312</v>
      </c>
      <c r="L94" s="2"/>
      <c r="M94" s="5" t="n">
        <v>0</v>
      </c>
      <c r="N94" s="5" t="n">
        <f aca="false">(Q94/PI())*-180</f>
        <v>-41.096067326825</v>
      </c>
      <c r="O94" s="5"/>
      <c r="P94" s="2" t="n">
        <f aca="false">SQRT(C94^2+D94^2)</f>
        <v>306.110257913713</v>
      </c>
      <c r="Q94" s="2" t="n">
        <f aca="false">ATAN(F94/P94)</f>
        <v>0.717261684474361</v>
      </c>
    </row>
    <row r="95" customFormat="false" ht="15.75" hidden="false" customHeight="false" outlineLevel="0" collapsed="false">
      <c r="B95" s="1" t="s">
        <v>106</v>
      </c>
      <c r="C95" s="1" t="n">
        <v>192.6</v>
      </c>
      <c r="D95" s="6" t="n">
        <v>-291.8</v>
      </c>
      <c r="E95" s="1" t="n">
        <v>198</v>
      </c>
      <c r="F95" s="0" t="n">
        <f aca="false">E95+69</f>
        <v>267</v>
      </c>
      <c r="G95" s="2"/>
      <c r="H95" s="2" t="n">
        <v>94</v>
      </c>
      <c r="I95" s="2" t="n">
        <f aca="false">C95/248.3</f>
        <v>0.775674587192912</v>
      </c>
      <c r="J95" s="2" t="n">
        <f aca="false">D95/315</f>
        <v>-0.926349206349206</v>
      </c>
      <c r="K95" s="0" t="n">
        <f aca="false">F95/366</f>
        <v>0.729508196721312</v>
      </c>
      <c r="L95" s="2"/>
      <c r="M95" s="5" t="n">
        <v>0</v>
      </c>
      <c r="N95" s="5" t="n">
        <f aca="false">(Q95/PI())*-180</f>
        <v>-37.367588139813</v>
      </c>
      <c r="O95" s="5"/>
      <c r="P95" s="2" t="n">
        <f aca="false">SQRT(C95^2+D95^2)</f>
        <v>349.631234302658</v>
      </c>
      <c r="Q95" s="2" t="n">
        <f aca="false">ATAN(F95/P95)</f>
        <v>0.65218744656892</v>
      </c>
    </row>
    <row r="96" customFormat="false" ht="15.75" hidden="false" customHeight="false" outlineLevel="0" collapsed="false">
      <c r="B96" s="1" t="s">
        <v>107</v>
      </c>
      <c r="C96" s="7" t="n">
        <v>241.4</v>
      </c>
      <c r="D96" s="1" t="n">
        <v>-201.5</v>
      </c>
      <c r="E96" s="1" t="n">
        <v>198</v>
      </c>
      <c r="F96" s="0" t="n">
        <f aca="false">E96+69</f>
        <v>267</v>
      </c>
      <c r="G96" s="2"/>
      <c r="H96" s="2" t="n">
        <v>95</v>
      </c>
      <c r="I96" s="2" t="n">
        <f aca="false">C96/248.3</f>
        <v>0.97221103503826</v>
      </c>
      <c r="J96" s="2" t="n">
        <f aca="false">D96/315</f>
        <v>-0.63968253968254</v>
      </c>
      <c r="K96" s="0" t="n">
        <f aca="false">F96/366</f>
        <v>0.729508196721312</v>
      </c>
      <c r="L96" s="2"/>
      <c r="M96" s="5" t="n">
        <v>270</v>
      </c>
      <c r="N96" s="5" t="n">
        <f aca="false">(Q96/PI())*-180</f>
        <v>-40.3350104999826</v>
      </c>
      <c r="O96" s="5"/>
      <c r="P96" s="2" t="n">
        <f aca="false">SQRT(C96^2+D96^2)</f>
        <v>314.445877695988</v>
      </c>
      <c r="Q96" s="2" t="n">
        <f aca="false">ATAN(F96/P96)</f>
        <v>0.70397873705118</v>
      </c>
    </row>
    <row r="97" customFormat="false" ht="15.75" hidden="false" customHeight="false" outlineLevel="0" collapsed="false">
      <c r="B97" s="1" t="s">
        <v>108</v>
      </c>
      <c r="C97" s="7" t="n">
        <v>241.4</v>
      </c>
      <c r="D97" s="1" t="n">
        <v>-97.4</v>
      </c>
      <c r="E97" s="1" t="n">
        <v>198</v>
      </c>
      <c r="F97" s="0" t="n">
        <f aca="false">E97+69</f>
        <v>267</v>
      </c>
      <c r="G97" s="2"/>
      <c r="H97" s="2" t="n">
        <v>96</v>
      </c>
      <c r="I97" s="2" t="n">
        <f aca="false">C97/248.3</f>
        <v>0.97221103503826</v>
      </c>
      <c r="J97" s="2" t="n">
        <f aca="false">D97/315</f>
        <v>-0.309206349206349</v>
      </c>
      <c r="K97" s="0" t="n">
        <f aca="false">F97/366</f>
        <v>0.729508196721312</v>
      </c>
      <c r="L97" s="2"/>
      <c r="M97" s="5" t="n">
        <v>270</v>
      </c>
      <c r="N97" s="5" t="n">
        <f aca="false">(Q97/PI())*-180</f>
        <v>-45.7269962581041</v>
      </c>
      <c r="O97" s="5"/>
      <c r="P97" s="2" t="n">
        <f aca="false">SQRT(C97^2+D97^2)</f>
        <v>260.308893432399</v>
      </c>
      <c r="Q97" s="2" t="n">
        <f aca="false">ATAN(F97/P97)</f>
        <v>0.798086641751043</v>
      </c>
    </row>
    <row r="98" customFormat="false" ht="15.75" hidden="false" customHeight="false" outlineLevel="0" collapsed="false">
      <c r="B98" s="1" t="s">
        <v>109</v>
      </c>
      <c r="C98" s="7" t="n">
        <v>241.4</v>
      </c>
      <c r="D98" s="1" t="n">
        <v>-0.2</v>
      </c>
      <c r="E98" s="1" t="n">
        <v>198</v>
      </c>
      <c r="F98" s="0" t="n">
        <f aca="false">E98+69</f>
        <v>267</v>
      </c>
      <c r="G98" s="2"/>
      <c r="H98" s="2" t="n">
        <v>97</v>
      </c>
      <c r="I98" s="2" t="n">
        <f aca="false">C98/248.3</f>
        <v>0.97221103503826</v>
      </c>
      <c r="J98" s="2" t="n">
        <f aca="false">D98/315</f>
        <v>-0.000634920634920635</v>
      </c>
      <c r="K98" s="0" t="n">
        <f aca="false">F98/366</f>
        <v>0.729508196721312</v>
      </c>
      <c r="L98" s="2"/>
      <c r="M98" s="5" t="n">
        <v>270</v>
      </c>
      <c r="N98" s="5" t="n">
        <f aca="false">(Q98/PI())*-180</f>
        <v>-47.8826301789991</v>
      </c>
      <c r="O98" s="5"/>
      <c r="P98" s="2" t="n">
        <f aca="false">SQRT(C98^2+D98^2)</f>
        <v>241.400082850027</v>
      </c>
      <c r="Q98" s="2" t="n">
        <f aca="false">ATAN(F98/P98)</f>
        <v>0.835709551138336</v>
      </c>
    </row>
    <row r="99" customFormat="false" ht="15.75" hidden="false" customHeight="false" outlineLevel="0" collapsed="false">
      <c r="B99" s="1" t="s">
        <v>110</v>
      </c>
      <c r="C99" s="7" t="n">
        <v>241.4</v>
      </c>
      <c r="D99" s="1" t="n">
        <v>99.9</v>
      </c>
      <c r="E99" s="1" t="n">
        <v>198</v>
      </c>
      <c r="F99" s="0" t="n">
        <f aca="false">E99+69</f>
        <v>267</v>
      </c>
      <c r="G99" s="2"/>
      <c r="H99" s="2" t="n">
        <v>98</v>
      </c>
      <c r="I99" s="2" t="n">
        <f aca="false">C99/248.3</f>
        <v>0.97221103503826</v>
      </c>
      <c r="J99" s="2" t="n">
        <f aca="false">D99/315</f>
        <v>0.317142857142857</v>
      </c>
      <c r="K99" s="0" t="n">
        <f aca="false">F99/366</f>
        <v>0.729508196721312</v>
      </c>
      <c r="L99" s="2"/>
      <c r="M99" s="5" t="n">
        <v>270</v>
      </c>
      <c r="N99" s="5" t="n">
        <f aca="false">(Q99/PI())*-180</f>
        <v>-45.6231346617996</v>
      </c>
      <c r="O99" s="5"/>
      <c r="P99" s="2" t="n">
        <f aca="false">SQRT(C99^2+D99^2)</f>
        <v>261.254607614871</v>
      </c>
      <c r="Q99" s="2" t="n">
        <f aca="false">ATAN(F99/P99)</f>
        <v>0.796273914929152</v>
      </c>
    </row>
    <row r="100" customFormat="false" ht="15.75" hidden="false" customHeight="false" outlineLevel="0" collapsed="false">
      <c r="B100" s="1" t="s">
        <v>111</v>
      </c>
      <c r="C100" s="7" t="n">
        <v>241.4</v>
      </c>
      <c r="D100" s="1" t="n">
        <v>200</v>
      </c>
      <c r="E100" s="1" t="n">
        <v>198</v>
      </c>
      <c r="F100" s="0" t="n">
        <f aca="false">E100+69</f>
        <v>267</v>
      </c>
      <c r="G100" s="2"/>
      <c r="H100" s="2" t="n">
        <v>99</v>
      </c>
      <c r="I100" s="2" t="n">
        <f aca="false">C100/248.3</f>
        <v>0.97221103503826</v>
      </c>
      <c r="J100" s="2" t="n">
        <f aca="false">D100/315</f>
        <v>0.634920634920635</v>
      </c>
      <c r="K100" s="0" t="n">
        <f aca="false">F100/366</f>
        <v>0.729508196721312</v>
      </c>
      <c r="L100" s="2"/>
      <c r="M100" s="5" t="n">
        <v>270</v>
      </c>
      <c r="N100" s="5" t="n">
        <f aca="false">(Q100/PI())*-180</f>
        <v>-40.4213872612776</v>
      </c>
      <c r="O100" s="5"/>
      <c r="P100" s="2" t="n">
        <f aca="false">SQRT(C100^2+D100^2)</f>
        <v>313.486778030589</v>
      </c>
      <c r="Q100" s="2" t="n">
        <f aca="false">ATAN(F100/P100)</f>
        <v>0.705486295932987</v>
      </c>
    </row>
    <row r="101" customFormat="false" ht="15.75" hidden="false" customHeight="false" outlineLevel="0" collapsed="false">
      <c r="B101" s="1" t="s">
        <v>112</v>
      </c>
      <c r="C101" s="1" t="n">
        <v>203.8</v>
      </c>
      <c r="D101" s="10" t="n">
        <v>290.4</v>
      </c>
      <c r="E101" s="1" t="n">
        <v>198</v>
      </c>
      <c r="F101" s="0" t="n">
        <f aca="false">E101+69</f>
        <v>267</v>
      </c>
      <c r="G101" s="2"/>
      <c r="H101" s="2" t="n">
        <v>100</v>
      </c>
      <c r="I101" s="2" t="n">
        <f aca="false">C101/248.3</f>
        <v>0.82078131292791</v>
      </c>
      <c r="J101" s="2" t="n">
        <f aca="false">D101/315</f>
        <v>0.921904761904762</v>
      </c>
      <c r="K101" s="0" t="n">
        <f aca="false">F101/366</f>
        <v>0.729508196721312</v>
      </c>
      <c r="L101" s="2"/>
      <c r="M101" s="5" t="n">
        <v>180</v>
      </c>
      <c r="N101" s="5" t="n">
        <f aca="false">(Q101/PI())*-180</f>
        <v>-36.9645989358233</v>
      </c>
      <c r="O101" s="5"/>
      <c r="P101" s="2" t="n">
        <f aca="false">SQRT(C101^2+D101^2)</f>
        <v>354.776831261569</v>
      </c>
      <c r="Q101" s="2" t="n">
        <f aca="false">ATAN(F101/P101)</f>
        <v>0.645153958109309</v>
      </c>
    </row>
    <row r="102" customFormat="false" ht="15.75" hidden="false" customHeight="false" outlineLevel="0" collapsed="false">
      <c r="B102" s="1" t="s">
        <v>113</v>
      </c>
      <c r="C102" s="1" t="n">
        <v>104.7</v>
      </c>
      <c r="D102" s="10" t="n">
        <v>290.4</v>
      </c>
      <c r="E102" s="1" t="n">
        <v>198</v>
      </c>
      <c r="F102" s="0" t="n">
        <f aca="false">E102+69</f>
        <v>267</v>
      </c>
      <c r="G102" s="2"/>
      <c r="H102" s="2" t="n">
        <v>101</v>
      </c>
      <c r="I102" s="2" t="n">
        <f aca="false">C102/248.3</f>
        <v>0.421667337897704</v>
      </c>
      <c r="J102" s="2" t="n">
        <f aca="false">D102/315</f>
        <v>0.921904761904762</v>
      </c>
      <c r="K102" s="0" t="n">
        <f aca="false">F102/366</f>
        <v>0.729508196721312</v>
      </c>
      <c r="L102" s="2"/>
      <c r="M102" s="5" t="n">
        <v>180</v>
      </c>
      <c r="N102" s="5" t="n">
        <f aca="false">(Q102/PI())*-180</f>
        <v>-40.8573122574732</v>
      </c>
      <c r="O102" s="5"/>
      <c r="P102" s="2" t="n">
        <f aca="false">SQRT(C102^2+D102^2)</f>
        <v>308.697667629673</v>
      </c>
      <c r="Q102" s="2" t="n">
        <f aca="false">ATAN(F102/P102)</f>
        <v>0.713094622408344</v>
      </c>
    </row>
    <row r="103" customFormat="false" ht="15.75" hidden="false" customHeight="false" outlineLevel="0" collapsed="false">
      <c r="B103" s="1" t="s">
        <v>114</v>
      </c>
      <c r="C103" s="1" t="n">
        <v>0.6</v>
      </c>
      <c r="D103" s="10" t="n">
        <v>290.4</v>
      </c>
      <c r="E103" s="1" t="n">
        <v>198</v>
      </c>
      <c r="F103" s="0" t="n">
        <f aca="false">E103+69</f>
        <v>267</v>
      </c>
      <c r="G103" s="2"/>
      <c r="H103" s="2" t="n">
        <v>102</v>
      </c>
      <c r="I103" s="2" t="n">
        <f aca="false">C103/248.3</f>
        <v>0.00241643173580346</v>
      </c>
      <c r="J103" s="2" t="n">
        <f aca="false">D103/315</f>
        <v>0.921904761904762</v>
      </c>
      <c r="K103" s="0" t="n">
        <f aca="false">F103/366</f>
        <v>0.729508196721312</v>
      </c>
      <c r="L103" s="2"/>
      <c r="M103" s="5" t="n">
        <v>180</v>
      </c>
      <c r="N103" s="5" t="n">
        <f aca="false">(Q103/PI())*-180</f>
        <v>-42.5960380003614</v>
      </c>
      <c r="O103" s="5"/>
      <c r="P103" s="2" t="n">
        <f aca="false">SQRT(C103^2+D103^2)</f>
        <v>290.400619834049</v>
      </c>
      <c r="Q103" s="2" t="n">
        <f aca="false">ATAN(F103/P103)</f>
        <v>0.743441111410927</v>
      </c>
    </row>
    <row r="104" customFormat="false" ht="15.75" hidden="false" customHeight="false" outlineLevel="0" collapsed="false">
      <c r="B104" s="1" t="s">
        <v>115</v>
      </c>
      <c r="C104" s="1" t="n">
        <v>-99.5</v>
      </c>
      <c r="D104" s="10" t="n">
        <v>290.4</v>
      </c>
      <c r="E104" s="1" t="n">
        <v>198</v>
      </c>
      <c r="F104" s="0" t="n">
        <f aca="false">E104+69</f>
        <v>267</v>
      </c>
      <c r="G104" s="2"/>
      <c r="H104" s="2" t="n">
        <v>103</v>
      </c>
      <c r="I104" s="2" t="n">
        <f aca="false">C104/248.3</f>
        <v>-0.400724929520741</v>
      </c>
      <c r="J104" s="2" t="n">
        <f aca="false">D104/315</f>
        <v>0.921904761904762</v>
      </c>
      <c r="K104" s="0" t="n">
        <f aca="false">F104/366</f>
        <v>0.729508196721312</v>
      </c>
      <c r="L104" s="2"/>
      <c r="M104" s="5" t="n">
        <v>180</v>
      </c>
      <c r="N104" s="5" t="n">
        <f aca="false">(Q104/PI())*-180</f>
        <v>-41.0162043664289</v>
      </c>
      <c r="O104" s="5"/>
      <c r="P104" s="2" t="n">
        <f aca="false">SQRT(C104^2+D104^2)</f>
        <v>306.972979266906</v>
      </c>
      <c r="Q104" s="2" t="n">
        <f aca="false">ATAN(F104/P104)</f>
        <v>0.715867812865059</v>
      </c>
    </row>
    <row r="105" customFormat="false" ht="15.75" hidden="false" customHeight="false" outlineLevel="0" collapsed="false">
      <c r="B105" s="1" t="s">
        <v>116</v>
      </c>
      <c r="C105" s="1" t="n">
        <v>-199.7</v>
      </c>
      <c r="D105" s="10" t="n">
        <v>290.4</v>
      </c>
      <c r="E105" s="1" t="n">
        <v>198</v>
      </c>
      <c r="F105" s="0" t="n">
        <f aca="false">E105+69</f>
        <v>267</v>
      </c>
      <c r="G105" s="2"/>
      <c r="H105" s="2" t="n">
        <v>104</v>
      </c>
      <c r="I105" s="2" t="n">
        <f aca="false">C105/248.3</f>
        <v>-0.804269029399919</v>
      </c>
      <c r="J105" s="2" t="n">
        <f aca="false">D105/315</f>
        <v>0.921904761904762</v>
      </c>
      <c r="K105" s="0" t="n">
        <f aca="false">F105/366</f>
        <v>0.729508196721312</v>
      </c>
      <c r="L105" s="2"/>
      <c r="M105" s="5" t="n">
        <v>180</v>
      </c>
      <c r="N105" s="5" t="n">
        <f aca="false">(Q105/PI())*-180</f>
        <v>-37.1468758175585</v>
      </c>
      <c r="O105" s="5"/>
      <c r="P105" s="2" t="n">
        <f aca="false">SQRT(C105^2+D105^2)</f>
        <v>352.437583126431</v>
      </c>
      <c r="Q105" s="2" t="n">
        <f aca="false">ATAN(F105/P105)</f>
        <v>0.648335289845856</v>
      </c>
    </row>
    <row r="106" customFormat="false" ht="15.75" hidden="false" customHeight="false" outlineLevel="0" collapsed="false">
      <c r="A106" s="2" t="s">
        <v>117</v>
      </c>
      <c r="B106" s="1" t="s">
        <v>118</v>
      </c>
      <c r="C106" s="1" t="n">
        <v>-132</v>
      </c>
      <c r="D106" s="1" t="n">
        <v>228.1</v>
      </c>
      <c r="E106" s="1" t="n">
        <v>297</v>
      </c>
      <c r="F106" s="0" t="n">
        <f aca="false">E106+69</f>
        <v>366</v>
      </c>
      <c r="G106" s="2"/>
      <c r="H106" s="2" t="n">
        <v>105</v>
      </c>
      <c r="I106" s="2" t="n">
        <f aca="false">C106/248.3</f>
        <v>-0.531614981876762</v>
      </c>
      <c r="J106" s="2" t="n">
        <f aca="false">D106/315</f>
        <v>0.724126984126984</v>
      </c>
      <c r="K106" s="0" t="n">
        <f aca="false">F106/366</f>
        <v>1</v>
      </c>
      <c r="L106" s="2"/>
      <c r="M106" s="5" t="n">
        <v>0</v>
      </c>
      <c r="N106" s="5" t="n">
        <v>-90</v>
      </c>
      <c r="O106" s="5"/>
      <c r="P106" s="2" t="n">
        <f aca="false">SQRT(C106^2+D106^2)</f>
        <v>263.540528192534</v>
      </c>
    </row>
    <row r="107" customFormat="false" ht="15.75" hidden="false" customHeight="false" outlineLevel="0" collapsed="false">
      <c r="B107" s="1" t="s">
        <v>119</v>
      </c>
      <c r="C107" s="1" t="n">
        <v>-36</v>
      </c>
      <c r="D107" s="1" t="n">
        <v>228.1</v>
      </c>
      <c r="E107" s="1" t="n">
        <v>297</v>
      </c>
      <c r="F107" s="0" t="n">
        <f aca="false">E107+69</f>
        <v>366</v>
      </c>
      <c r="G107" s="2"/>
      <c r="H107" s="2" t="n">
        <v>106</v>
      </c>
      <c r="I107" s="2" t="n">
        <f aca="false">C107/248.3</f>
        <v>-0.144985904148208</v>
      </c>
      <c r="J107" s="2" t="n">
        <f aca="false">D107/315</f>
        <v>0.724126984126984</v>
      </c>
      <c r="K107" s="0" t="n">
        <f aca="false">F107/366</f>
        <v>1</v>
      </c>
      <c r="L107" s="2"/>
      <c r="M107" s="5" t="n">
        <v>0</v>
      </c>
      <c r="N107" s="5" t="n">
        <v>-90</v>
      </c>
      <c r="O107" s="5"/>
      <c r="P107" s="2" t="n">
        <f aca="false">SQRT(C107^2+D107^2)</f>
        <v>230.923385563264</v>
      </c>
    </row>
    <row r="108" customFormat="false" ht="15.75" hidden="false" customHeight="false" outlineLevel="0" collapsed="false">
      <c r="B108" s="1" t="s">
        <v>120</v>
      </c>
      <c r="C108" s="1" t="n">
        <v>36</v>
      </c>
      <c r="D108" s="1" t="n">
        <v>228.1</v>
      </c>
      <c r="E108" s="1" t="n">
        <v>297</v>
      </c>
      <c r="F108" s="0" t="n">
        <f aca="false">E108+69</f>
        <v>366</v>
      </c>
      <c r="G108" s="2"/>
      <c r="H108" s="2" t="n">
        <v>107</v>
      </c>
      <c r="I108" s="2" t="n">
        <f aca="false">C108/248.3</f>
        <v>0.144985904148208</v>
      </c>
      <c r="J108" s="2" t="n">
        <f aca="false">D108/315</f>
        <v>0.724126984126984</v>
      </c>
      <c r="K108" s="0" t="n">
        <f aca="false">F108/366</f>
        <v>1</v>
      </c>
      <c r="L108" s="2"/>
      <c r="M108" s="5" t="n">
        <v>0</v>
      </c>
      <c r="N108" s="5" t="n">
        <v>-90</v>
      </c>
      <c r="O108" s="5"/>
      <c r="P108" s="2" t="n">
        <f aca="false">SQRT(C108^2+D108^2)</f>
        <v>230.923385563264</v>
      </c>
    </row>
    <row r="109" customFormat="false" ht="15.75" hidden="false" customHeight="false" outlineLevel="0" collapsed="false">
      <c r="B109" s="1" t="s">
        <v>121</v>
      </c>
      <c r="C109" s="1" t="n">
        <v>132</v>
      </c>
      <c r="D109" s="1" t="n">
        <v>228.1</v>
      </c>
      <c r="E109" s="1" t="n">
        <v>297</v>
      </c>
      <c r="F109" s="0" t="n">
        <f aca="false">E109+69</f>
        <v>366</v>
      </c>
      <c r="G109" s="2"/>
      <c r="H109" s="2" t="n">
        <v>108</v>
      </c>
      <c r="I109" s="2" t="n">
        <f aca="false">C109/248.3</f>
        <v>0.531614981876762</v>
      </c>
      <c r="J109" s="2" t="n">
        <f aca="false">D109/315</f>
        <v>0.724126984126984</v>
      </c>
      <c r="K109" s="0" t="n">
        <f aca="false">F109/366</f>
        <v>1</v>
      </c>
      <c r="L109" s="2"/>
      <c r="M109" s="5" t="n">
        <v>0</v>
      </c>
      <c r="N109" s="5" t="n">
        <v>-90</v>
      </c>
      <c r="O109" s="5"/>
      <c r="P109" s="2" t="n">
        <f aca="false">SQRT(C109^2+D109^2)</f>
        <v>263.540528192534</v>
      </c>
    </row>
    <row r="110" customFormat="false" ht="15.75" hidden="false" customHeight="false" outlineLevel="0" collapsed="false">
      <c r="B110" s="1" t="s">
        <v>122</v>
      </c>
      <c r="C110" s="1" t="n">
        <v>-132</v>
      </c>
      <c r="D110" s="1" t="n">
        <v>114</v>
      </c>
      <c r="E110" s="1" t="n">
        <v>297</v>
      </c>
      <c r="F110" s="0" t="n">
        <f aca="false">E110+69</f>
        <v>366</v>
      </c>
      <c r="G110" s="2"/>
      <c r="H110" s="2" t="n">
        <v>109</v>
      </c>
      <c r="I110" s="2" t="n">
        <f aca="false">C110/248.3</f>
        <v>-0.531614981876762</v>
      </c>
      <c r="J110" s="2" t="n">
        <f aca="false">D110/315</f>
        <v>0.361904761904762</v>
      </c>
      <c r="K110" s="0" t="n">
        <f aca="false">F110/366</f>
        <v>1</v>
      </c>
      <c r="L110" s="2"/>
      <c r="M110" s="5" t="n">
        <v>0</v>
      </c>
      <c r="N110" s="5" t="n">
        <v>-90</v>
      </c>
      <c r="O110" s="5"/>
      <c r="P110" s="2" t="n">
        <f aca="false">SQRT(C110^2+D110^2)</f>
        <v>174.413302244984</v>
      </c>
    </row>
    <row r="111" customFormat="false" ht="15.75" hidden="false" customHeight="false" outlineLevel="0" collapsed="false">
      <c r="B111" s="1" t="s">
        <v>123</v>
      </c>
      <c r="C111" s="1" t="n">
        <v>-36</v>
      </c>
      <c r="D111" s="1" t="n">
        <v>114</v>
      </c>
      <c r="E111" s="1" t="n">
        <v>297</v>
      </c>
      <c r="F111" s="0" t="n">
        <f aca="false">E111+69</f>
        <v>366</v>
      </c>
      <c r="G111" s="2"/>
      <c r="H111" s="2" t="n">
        <v>110</v>
      </c>
      <c r="I111" s="2" t="n">
        <f aca="false">C111/248.3</f>
        <v>-0.144985904148208</v>
      </c>
      <c r="J111" s="2" t="n">
        <f aca="false">D111/315</f>
        <v>0.361904761904762</v>
      </c>
      <c r="K111" s="0" t="n">
        <f aca="false">F111/366</f>
        <v>1</v>
      </c>
      <c r="L111" s="2"/>
      <c r="M111" s="5" t="n">
        <v>0</v>
      </c>
      <c r="N111" s="5" t="n">
        <v>-90</v>
      </c>
      <c r="O111" s="5"/>
      <c r="P111" s="2" t="n">
        <f aca="false">SQRT(C111^2+D111^2)</f>
        <v>119.549153071028</v>
      </c>
    </row>
    <row r="112" customFormat="false" ht="15.75" hidden="false" customHeight="false" outlineLevel="0" collapsed="false">
      <c r="B112" s="1" t="s">
        <v>124</v>
      </c>
      <c r="C112" s="1" t="n">
        <v>36</v>
      </c>
      <c r="D112" s="1" t="n">
        <v>114</v>
      </c>
      <c r="E112" s="1" t="n">
        <v>297</v>
      </c>
      <c r="F112" s="0" t="n">
        <f aca="false">E112+69</f>
        <v>366</v>
      </c>
      <c r="G112" s="2"/>
      <c r="H112" s="2" t="n">
        <v>111</v>
      </c>
      <c r="I112" s="2" t="n">
        <f aca="false">C112/248.3</f>
        <v>0.144985904148208</v>
      </c>
      <c r="J112" s="2" t="n">
        <f aca="false">D112/315</f>
        <v>0.361904761904762</v>
      </c>
      <c r="K112" s="0" t="n">
        <f aca="false">F112/366</f>
        <v>1</v>
      </c>
      <c r="L112" s="2"/>
      <c r="M112" s="5" t="n">
        <v>0</v>
      </c>
      <c r="N112" s="5" t="n">
        <v>-90</v>
      </c>
      <c r="O112" s="5"/>
      <c r="P112" s="2" t="n">
        <f aca="false">SQRT(C112^2+D112^2)</f>
        <v>119.549153071028</v>
      </c>
    </row>
    <row r="113" customFormat="false" ht="15.75" hidden="false" customHeight="false" outlineLevel="0" collapsed="false">
      <c r="B113" s="1" t="s">
        <v>125</v>
      </c>
      <c r="C113" s="1" t="n">
        <v>132</v>
      </c>
      <c r="D113" s="1" t="n">
        <v>114</v>
      </c>
      <c r="E113" s="1" t="n">
        <v>297</v>
      </c>
      <c r="F113" s="0" t="n">
        <f aca="false">E113+69</f>
        <v>366</v>
      </c>
      <c r="G113" s="2"/>
      <c r="H113" s="2" t="n">
        <v>112</v>
      </c>
      <c r="I113" s="2" t="n">
        <f aca="false">C113/248.3</f>
        <v>0.531614981876762</v>
      </c>
      <c r="J113" s="2" t="n">
        <f aca="false">D113/315</f>
        <v>0.361904761904762</v>
      </c>
      <c r="K113" s="0" t="n">
        <f aca="false">F113/366</f>
        <v>1</v>
      </c>
      <c r="L113" s="2"/>
      <c r="M113" s="5" t="n">
        <v>0</v>
      </c>
      <c r="N113" s="5" t="n">
        <v>-90</v>
      </c>
      <c r="O113" s="5"/>
      <c r="P113" s="2" t="n">
        <f aca="false">SQRT(C113^2+D113^2)</f>
        <v>174.413302244984</v>
      </c>
    </row>
    <row r="114" customFormat="false" ht="15.75" hidden="false" customHeight="false" outlineLevel="0" collapsed="false">
      <c r="B114" s="1" t="s">
        <v>126</v>
      </c>
      <c r="C114" s="1" t="n">
        <v>-132</v>
      </c>
      <c r="D114" s="1" t="n">
        <v>-0.4</v>
      </c>
      <c r="E114" s="1" t="n">
        <v>297</v>
      </c>
      <c r="F114" s="0" t="n">
        <f aca="false">E114+69</f>
        <v>366</v>
      </c>
      <c r="G114" s="2"/>
      <c r="H114" s="2" t="n">
        <v>113</v>
      </c>
      <c r="I114" s="2" t="n">
        <f aca="false">C114/248.3</f>
        <v>-0.531614981876762</v>
      </c>
      <c r="J114" s="2" t="n">
        <f aca="false">D114/315</f>
        <v>-0.00126984126984127</v>
      </c>
      <c r="K114" s="0" t="n">
        <f aca="false">F114/366</f>
        <v>1</v>
      </c>
      <c r="L114" s="2"/>
      <c r="M114" s="5" t="n">
        <v>0</v>
      </c>
      <c r="N114" s="5" t="n">
        <v>-90</v>
      </c>
      <c r="O114" s="5"/>
      <c r="P114" s="2" t="n">
        <f aca="false">SQRT(C114^2+D114^2)</f>
        <v>132.000606059215</v>
      </c>
    </row>
    <row r="115" customFormat="false" ht="15.75" hidden="false" customHeight="false" outlineLevel="0" collapsed="false">
      <c r="B115" s="1" t="s">
        <v>127</v>
      </c>
      <c r="C115" s="1" t="n">
        <v>-36</v>
      </c>
      <c r="D115" s="1" t="n">
        <v>-0.4</v>
      </c>
      <c r="E115" s="1" t="n">
        <v>297</v>
      </c>
      <c r="F115" s="0" t="n">
        <f aca="false">E115+69</f>
        <v>366</v>
      </c>
      <c r="G115" s="2"/>
      <c r="H115" s="2" t="n">
        <v>114</v>
      </c>
      <c r="I115" s="2" t="n">
        <f aca="false">C115/248.3</f>
        <v>-0.144985904148208</v>
      </c>
      <c r="J115" s="2" t="n">
        <f aca="false">D115/315</f>
        <v>-0.00126984126984127</v>
      </c>
      <c r="K115" s="0" t="n">
        <f aca="false">F115/366</f>
        <v>1</v>
      </c>
      <c r="L115" s="2"/>
      <c r="M115" s="5" t="n">
        <v>0</v>
      </c>
      <c r="N115" s="5" t="n">
        <v>-90</v>
      </c>
      <c r="O115" s="5"/>
      <c r="P115" s="2" t="n">
        <f aca="false">SQRT(C115^2+D115^2)</f>
        <v>36.0022221536394</v>
      </c>
    </row>
    <row r="116" customFormat="false" ht="15.75" hidden="false" customHeight="false" outlineLevel="0" collapsed="false">
      <c r="B116" s="1" t="s">
        <v>128</v>
      </c>
      <c r="C116" s="1" t="n">
        <v>36</v>
      </c>
      <c r="D116" s="1" t="n">
        <v>-0.4</v>
      </c>
      <c r="E116" s="1" t="n">
        <v>297</v>
      </c>
      <c r="F116" s="0" t="n">
        <f aca="false">E116+69</f>
        <v>366</v>
      </c>
      <c r="G116" s="2"/>
      <c r="H116" s="2" t="n">
        <v>115</v>
      </c>
      <c r="I116" s="2" t="n">
        <f aca="false">C116/248.3</f>
        <v>0.144985904148208</v>
      </c>
      <c r="J116" s="2" t="n">
        <f aca="false">D116/315</f>
        <v>-0.00126984126984127</v>
      </c>
      <c r="K116" s="0" t="n">
        <f aca="false">F116/366</f>
        <v>1</v>
      </c>
      <c r="L116" s="2"/>
      <c r="M116" s="5" t="n">
        <v>0</v>
      </c>
      <c r="N116" s="5" t="n">
        <v>-90</v>
      </c>
      <c r="O116" s="5"/>
      <c r="P116" s="2" t="n">
        <f aca="false">SQRT(C116^2+D116^2)</f>
        <v>36.0022221536394</v>
      </c>
    </row>
    <row r="117" customFormat="false" ht="15.75" hidden="false" customHeight="false" outlineLevel="0" collapsed="false">
      <c r="B117" s="1" t="s">
        <v>129</v>
      </c>
      <c r="C117" s="1" t="n">
        <v>132</v>
      </c>
      <c r="D117" s="1" t="n">
        <v>-0.4</v>
      </c>
      <c r="E117" s="1" t="n">
        <v>297</v>
      </c>
      <c r="F117" s="0" t="n">
        <f aca="false">E117+69</f>
        <v>366</v>
      </c>
      <c r="G117" s="2"/>
      <c r="H117" s="2" t="n">
        <v>116</v>
      </c>
      <c r="I117" s="2" t="n">
        <f aca="false">C117/248.3</f>
        <v>0.531614981876762</v>
      </c>
      <c r="J117" s="2" t="n">
        <f aca="false">D117/315</f>
        <v>-0.00126984126984127</v>
      </c>
      <c r="K117" s="0" t="n">
        <f aca="false">F117/366</f>
        <v>1</v>
      </c>
      <c r="L117" s="2"/>
      <c r="M117" s="5" t="n">
        <v>0</v>
      </c>
      <c r="N117" s="5" t="n">
        <v>-90</v>
      </c>
      <c r="O117" s="5"/>
      <c r="P117" s="2" t="n">
        <f aca="false">SQRT(C117^2+D117^2)</f>
        <v>132.000606059215</v>
      </c>
    </row>
    <row r="118" customFormat="false" ht="15.75" hidden="false" customHeight="false" outlineLevel="0" collapsed="false">
      <c r="B118" s="1" t="s">
        <v>130</v>
      </c>
      <c r="C118" s="1" t="n">
        <v>-132</v>
      </c>
      <c r="D118" s="1" t="n">
        <v>-114</v>
      </c>
      <c r="E118" s="1" t="n">
        <v>297</v>
      </c>
      <c r="F118" s="0" t="n">
        <f aca="false">E118+69</f>
        <v>366</v>
      </c>
      <c r="G118" s="2"/>
      <c r="H118" s="2" t="n">
        <v>117</v>
      </c>
      <c r="I118" s="2" t="n">
        <f aca="false">C118/248.3</f>
        <v>-0.531614981876762</v>
      </c>
      <c r="J118" s="2" t="n">
        <f aca="false">D118/315</f>
        <v>-0.361904761904762</v>
      </c>
      <c r="K118" s="0" t="n">
        <f aca="false">F118/366</f>
        <v>1</v>
      </c>
      <c r="L118" s="2"/>
      <c r="M118" s="5" t="n">
        <v>0</v>
      </c>
      <c r="N118" s="5" t="n">
        <v>-90</v>
      </c>
      <c r="O118" s="5"/>
      <c r="P118" s="2" t="n">
        <f aca="false">SQRT(C118^2+D118^2)</f>
        <v>174.413302244984</v>
      </c>
    </row>
    <row r="119" customFormat="false" ht="15.75" hidden="false" customHeight="false" outlineLevel="0" collapsed="false">
      <c r="B119" s="1" t="s">
        <v>131</v>
      </c>
      <c r="C119" s="1" t="n">
        <v>-36</v>
      </c>
      <c r="D119" s="1" t="n">
        <v>-114</v>
      </c>
      <c r="E119" s="1" t="n">
        <v>297</v>
      </c>
      <c r="F119" s="0" t="n">
        <f aca="false">E119+69</f>
        <v>366</v>
      </c>
      <c r="G119" s="2"/>
      <c r="H119" s="2" t="n">
        <v>118</v>
      </c>
      <c r="I119" s="2" t="n">
        <f aca="false">C119/248.3</f>
        <v>-0.144985904148208</v>
      </c>
      <c r="J119" s="2" t="n">
        <f aca="false">D119/315</f>
        <v>-0.361904761904762</v>
      </c>
      <c r="K119" s="0" t="n">
        <f aca="false">F119/366</f>
        <v>1</v>
      </c>
      <c r="L119" s="2"/>
      <c r="M119" s="5" t="n">
        <v>0</v>
      </c>
      <c r="N119" s="5" t="n">
        <v>-90</v>
      </c>
      <c r="O119" s="5"/>
      <c r="P119" s="2" t="n">
        <f aca="false">SQRT(C119^2+D119^2)</f>
        <v>119.549153071028</v>
      </c>
    </row>
    <row r="120" customFormat="false" ht="15.75" hidden="false" customHeight="false" outlineLevel="0" collapsed="false">
      <c r="B120" s="1" t="s">
        <v>132</v>
      </c>
      <c r="C120" s="1" t="n">
        <v>36</v>
      </c>
      <c r="D120" s="1" t="n">
        <v>-114</v>
      </c>
      <c r="E120" s="1" t="n">
        <v>297</v>
      </c>
      <c r="F120" s="0" t="n">
        <f aca="false">E120+69</f>
        <v>366</v>
      </c>
      <c r="G120" s="2"/>
      <c r="H120" s="2" t="n">
        <v>119</v>
      </c>
      <c r="I120" s="2" t="n">
        <f aca="false">C120/248.3</f>
        <v>0.144985904148208</v>
      </c>
      <c r="J120" s="2" t="n">
        <f aca="false">D120/315</f>
        <v>-0.361904761904762</v>
      </c>
      <c r="K120" s="0" t="n">
        <f aca="false">F120/366</f>
        <v>1</v>
      </c>
      <c r="L120" s="2"/>
      <c r="M120" s="5" t="n">
        <v>0</v>
      </c>
      <c r="N120" s="5" t="n">
        <v>-90</v>
      </c>
      <c r="O120" s="5"/>
      <c r="P120" s="2" t="n">
        <f aca="false">SQRT(C120^2+D120^2)</f>
        <v>119.549153071028</v>
      </c>
    </row>
    <row r="121" customFormat="false" ht="15.75" hidden="false" customHeight="false" outlineLevel="0" collapsed="false">
      <c r="B121" s="1" t="s">
        <v>133</v>
      </c>
      <c r="C121" s="1" t="n">
        <v>132</v>
      </c>
      <c r="D121" s="1" t="n">
        <v>-114</v>
      </c>
      <c r="E121" s="1" t="n">
        <v>297</v>
      </c>
      <c r="F121" s="0" t="n">
        <f aca="false">E121+69</f>
        <v>366</v>
      </c>
      <c r="G121" s="2"/>
      <c r="H121" s="2" t="n">
        <v>120</v>
      </c>
      <c r="I121" s="2" t="n">
        <f aca="false">C121/248.3</f>
        <v>0.531614981876762</v>
      </c>
      <c r="J121" s="2" t="n">
        <f aca="false">D121/315</f>
        <v>-0.361904761904762</v>
      </c>
      <c r="K121" s="0" t="n">
        <f aca="false">F121/366</f>
        <v>1</v>
      </c>
      <c r="L121" s="2"/>
      <c r="M121" s="5" t="n">
        <v>0</v>
      </c>
      <c r="N121" s="5" t="n">
        <v>-90</v>
      </c>
      <c r="O121" s="5"/>
      <c r="P121" s="2" t="n">
        <f aca="false">SQRT(C121^2+D121^2)</f>
        <v>174.413302244984</v>
      </c>
    </row>
    <row r="122" customFormat="false" ht="15.75" hidden="false" customHeight="false" outlineLevel="0" collapsed="false">
      <c r="B122" s="1" t="s">
        <v>134</v>
      </c>
      <c r="C122" s="1" t="n">
        <v>-132</v>
      </c>
      <c r="D122" s="1" t="n">
        <v>-228.8</v>
      </c>
      <c r="E122" s="1" t="n">
        <v>297</v>
      </c>
      <c r="F122" s="0" t="n">
        <f aca="false">E122+69</f>
        <v>366</v>
      </c>
      <c r="G122" s="2"/>
      <c r="H122" s="2" t="n">
        <v>121</v>
      </c>
      <c r="I122" s="2" t="n">
        <f aca="false">C122/248.3</f>
        <v>-0.531614981876762</v>
      </c>
      <c r="J122" s="2" t="n">
        <f aca="false">D122/315</f>
        <v>-0.726349206349206</v>
      </c>
      <c r="K122" s="0" t="n">
        <f aca="false">F122/366</f>
        <v>1</v>
      </c>
      <c r="L122" s="2"/>
      <c r="M122" s="5" t="n">
        <v>0</v>
      </c>
      <c r="N122" s="5" t="n">
        <v>-90</v>
      </c>
      <c r="O122" s="5"/>
      <c r="P122" s="2" t="n">
        <f aca="false">SQRT(C122^2+D122^2)</f>
        <v>264.146625948544</v>
      </c>
    </row>
    <row r="123" customFormat="false" ht="15.75" hidden="false" customHeight="false" outlineLevel="0" collapsed="false">
      <c r="B123" s="1" t="s">
        <v>135</v>
      </c>
      <c r="C123" s="1" t="n">
        <v>-36</v>
      </c>
      <c r="D123" s="1" t="n">
        <v>-228.8</v>
      </c>
      <c r="E123" s="1" t="n">
        <v>297</v>
      </c>
      <c r="F123" s="0" t="n">
        <f aca="false">E123+69</f>
        <v>366</v>
      </c>
      <c r="G123" s="2"/>
      <c r="H123" s="2" t="n">
        <v>122</v>
      </c>
      <c r="I123" s="2" t="n">
        <f aca="false">C123/248.3</f>
        <v>-0.144985904148208</v>
      </c>
      <c r="J123" s="2" t="n">
        <f aca="false">D123/315</f>
        <v>-0.726349206349206</v>
      </c>
      <c r="K123" s="0" t="n">
        <f aca="false">F123/366</f>
        <v>1</v>
      </c>
      <c r="L123" s="2"/>
      <c r="M123" s="5" t="n">
        <v>0</v>
      </c>
      <c r="N123" s="5" t="n">
        <v>-90</v>
      </c>
      <c r="O123" s="5"/>
      <c r="P123" s="2" t="n">
        <f aca="false">SQRT(C123^2+D123^2)</f>
        <v>231.614852718905</v>
      </c>
    </row>
    <row r="124" customFormat="false" ht="15.75" hidden="false" customHeight="false" outlineLevel="0" collapsed="false">
      <c r="B124" s="1" t="s">
        <v>136</v>
      </c>
      <c r="C124" s="1" t="n">
        <v>36</v>
      </c>
      <c r="D124" s="1" t="n">
        <v>-228.8</v>
      </c>
      <c r="E124" s="1" t="n">
        <v>297</v>
      </c>
      <c r="F124" s="0" t="n">
        <f aca="false">E124+69</f>
        <v>366</v>
      </c>
      <c r="G124" s="2"/>
      <c r="H124" s="2" t="n">
        <v>123</v>
      </c>
      <c r="I124" s="2" t="n">
        <f aca="false">C124/248.3</f>
        <v>0.144985904148208</v>
      </c>
      <c r="J124" s="2" t="n">
        <f aca="false">D124/315</f>
        <v>-0.726349206349206</v>
      </c>
      <c r="K124" s="0" t="n">
        <f aca="false">F124/366</f>
        <v>1</v>
      </c>
      <c r="L124" s="2"/>
      <c r="M124" s="5" t="n">
        <v>0</v>
      </c>
      <c r="N124" s="5" t="n">
        <v>-90</v>
      </c>
      <c r="O124" s="5"/>
      <c r="P124" s="2" t="n">
        <f aca="false">SQRT(C124^2+D124^2)</f>
        <v>231.614852718905</v>
      </c>
    </row>
    <row r="125" customFormat="false" ht="15.75" hidden="false" customHeight="false" outlineLevel="0" collapsed="false">
      <c r="B125" s="1" t="s">
        <v>137</v>
      </c>
      <c r="C125" s="1" t="n">
        <v>132</v>
      </c>
      <c r="D125" s="1" t="n">
        <v>-228.8</v>
      </c>
      <c r="E125" s="1" t="n">
        <v>297</v>
      </c>
      <c r="F125" s="0" t="n">
        <f aca="false">E125+69</f>
        <v>366</v>
      </c>
      <c r="G125" s="2"/>
      <c r="H125" s="2" t="n">
        <v>124</v>
      </c>
      <c r="I125" s="2" t="n">
        <f aca="false">C125/248.3</f>
        <v>0.531614981876762</v>
      </c>
      <c r="J125" s="2" t="n">
        <f aca="false">D125/315</f>
        <v>-0.726349206349206</v>
      </c>
      <c r="K125" s="0" t="n">
        <f aca="false">F125/366</f>
        <v>1</v>
      </c>
      <c r="L125" s="2"/>
      <c r="M125" s="5" t="n">
        <v>0</v>
      </c>
      <c r="N125" s="5" t="n">
        <v>-90</v>
      </c>
      <c r="O125" s="5"/>
      <c r="P125" s="2" t="n">
        <f aca="false">SQRT(C125^2+D125^2)</f>
        <v>264.146625948544</v>
      </c>
    </row>
    <row r="126" customFormat="false" ht="15.75" hidden="false" customHeight="false" outlineLevel="0" collapsed="false">
      <c r="A126" s="2" t="s">
        <v>138</v>
      </c>
      <c r="B126" s="11" t="s">
        <v>139</v>
      </c>
      <c r="C126" s="12" t="n">
        <v>-248</v>
      </c>
      <c r="D126" s="12" t="n">
        <v>-161</v>
      </c>
      <c r="E126" s="11" t="n">
        <v>-45</v>
      </c>
      <c r="F126" s="11" t="n">
        <v>32</v>
      </c>
      <c r="G126" s="11"/>
      <c r="H126" s="11" t="n">
        <v>125</v>
      </c>
      <c r="I126" s="11" t="n">
        <f aca="false">C126/248.3</f>
        <v>-0.998791784132098</v>
      </c>
      <c r="J126" s="11" t="n">
        <f aca="false">D126/315</f>
        <v>-0.511111111111111</v>
      </c>
      <c r="K126" s="11" t="n">
        <f aca="false">F126/366</f>
        <v>0.087431693989071</v>
      </c>
      <c r="L126" s="2"/>
      <c r="M126" s="5" t="n">
        <v>90</v>
      </c>
      <c r="N126" s="5" t="n">
        <f aca="false">(Q126/PI())*-180</f>
        <v>-0</v>
      </c>
      <c r="O126" s="5"/>
      <c r="P126" s="2" t="n">
        <f aca="false">SQRT(C126^2+D126^2)</f>
        <v>295.67718883945</v>
      </c>
    </row>
    <row r="127" customFormat="false" ht="15.75" hidden="false" customHeight="false" outlineLevel="0" collapsed="false">
      <c r="B127" s="11" t="s">
        <v>140</v>
      </c>
      <c r="C127" s="12" t="n">
        <v>-248</v>
      </c>
      <c r="D127" s="12" t="n">
        <v>189</v>
      </c>
      <c r="E127" s="11" t="n">
        <v>-45</v>
      </c>
      <c r="F127" s="11" t="n">
        <v>32</v>
      </c>
      <c r="G127" s="11"/>
      <c r="H127" s="11" t="n">
        <v>126</v>
      </c>
      <c r="I127" s="11" t="n">
        <f aca="false">C127/248.3</f>
        <v>-0.998791784132098</v>
      </c>
      <c r="J127" s="11" t="n">
        <f aca="false">D127/315</f>
        <v>0.6</v>
      </c>
      <c r="K127" s="11" t="n">
        <f aca="false">F127/366</f>
        <v>0.087431693989071</v>
      </c>
      <c r="L127" s="2"/>
      <c r="M127" s="5" t="n">
        <v>90</v>
      </c>
      <c r="N127" s="5" t="n">
        <f aca="false">(Q127/PI())*-180</f>
        <v>-0</v>
      </c>
      <c r="O127" s="5"/>
      <c r="P127" s="2" t="n">
        <f aca="false">SQRT(C127^2+D127^2)</f>
        <v>311.809236553377</v>
      </c>
    </row>
    <row r="128" customFormat="false" ht="15.75" hidden="false" customHeight="false" outlineLevel="0" collapsed="false">
      <c r="B128" s="2" t="s">
        <v>141</v>
      </c>
      <c r="C128" s="13" t="n">
        <v>-94</v>
      </c>
      <c r="D128" s="13" t="n">
        <v>-295</v>
      </c>
      <c r="E128" s="2" t="n">
        <v>-45</v>
      </c>
      <c r="F128" s="2" t="n">
        <v>32</v>
      </c>
      <c r="G128" s="2"/>
      <c r="H128" s="11" t="n">
        <v>127</v>
      </c>
      <c r="I128" s="2" t="n">
        <f aca="false">C128/248.3</f>
        <v>-0.378574305275876</v>
      </c>
      <c r="J128" s="2" t="n">
        <f aca="false">D128/315</f>
        <v>-0.936507936507937</v>
      </c>
      <c r="K128" s="0" t="n">
        <f aca="false">F128/366</f>
        <v>0.087431693989071</v>
      </c>
      <c r="L128" s="2"/>
      <c r="M128" s="5" t="n">
        <v>0</v>
      </c>
      <c r="N128" s="5" t="n">
        <f aca="false">(Q128/PI())*-180</f>
        <v>-0</v>
      </c>
      <c r="O128" s="5"/>
      <c r="P128" s="2" t="n">
        <f aca="false">SQRT(C128^2+D128^2)</f>
        <v>309.61427615664</v>
      </c>
    </row>
    <row r="129" customFormat="false" ht="15.75" hidden="false" customHeight="false" outlineLevel="0" collapsed="false">
      <c r="B129" s="2" t="s">
        <v>142</v>
      </c>
      <c r="C129" s="13" t="n">
        <v>-94</v>
      </c>
      <c r="D129" s="13" t="n">
        <v>295</v>
      </c>
      <c r="E129" s="2" t="n">
        <v>-45</v>
      </c>
      <c r="F129" s="2" t="n">
        <v>32</v>
      </c>
      <c r="G129" s="2"/>
      <c r="H129" s="11" t="n">
        <v>128</v>
      </c>
      <c r="I129" s="2" t="n">
        <f aca="false">C129/248.3</f>
        <v>-0.378574305275876</v>
      </c>
      <c r="J129" s="2" t="n">
        <f aca="false">D129/315</f>
        <v>0.936507936507937</v>
      </c>
      <c r="K129" s="0" t="n">
        <f aca="false">F129/366</f>
        <v>0.087431693989071</v>
      </c>
      <c r="L129" s="2"/>
      <c r="M129" s="5" t="n">
        <v>180</v>
      </c>
      <c r="N129" s="5" t="n">
        <f aca="false">(Q129/PI())*-180</f>
        <v>-0</v>
      </c>
      <c r="O129" s="5"/>
      <c r="P129" s="2" t="n">
        <f aca="false">SQRT(C129^2+D129^2)</f>
        <v>309.61427615664</v>
      </c>
    </row>
    <row r="130" customFormat="false" ht="15.75" hidden="false" customHeight="false" outlineLevel="0" collapsed="false">
      <c r="B130" s="2" t="s">
        <v>143</v>
      </c>
      <c r="C130" s="13" t="n">
        <v>126</v>
      </c>
      <c r="D130" s="13" t="n">
        <v>-295</v>
      </c>
      <c r="E130" s="2" t="n">
        <v>-45</v>
      </c>
      <c r="F130" s="2" t="n">
        <v>32</v>
      </c>
      <c r="G130" s="2"/>
      <c r="H130" s="11" t="n">
        <v>129</v>
      </c>
      <c r="I130" s="2" t="n">
        <f aca="false">C130/248.3</f>
        <v>0.507450664518727</v>
      </c>
      <c r="J130" s="2" t="n">
        <f aca="false">D130/315</f>
        <v>-0.936507936507937</v>
      </c>
      <c r="K130" s="0" t="n">
        <f aca="false">F130/366</f>
        <v>0.087431693989071</v>
      </c>
      <c r="L130" s="2"/>
      <c r="M130" s="5" t="n">
        <v>0</v>
      </c>
      <c r="N130" s="5" t="n">
        <f aca="false">(Q130/PI())*-180</f>
        <v>-0</v>
      </c>
      <c r="O130" s="5"/>
      <c r="P130" s="2" t="n">
        <f aca="false">SQRT(C130^2+D130^2)</f>
        <v>320.781857342338</v>
      </c>
    </row>
    <row r="131" customFormat="false" ht="15.75" hidden="false" customHeight="false" outlineLevel="0" collapsed="false">
      <c r="B131" s="2" t="s">
        <v>144</v>
      </c>
      <c r="C131" s="13" t="n">
        <v>126</v>
      </c>
      <c r="D131" s="13" t="n">
        <v>295</v>
      </c>
      <c r="E131" s="2" t="n">
        <v>-45</v>
      </c>
      <c r="F131" s="2" t="n">
        <v>32</v>
      </c>
      <c r="G131" s="2"/>
      <c r="H131" s="11" t="n">
        <v>130</v>
      </c>
      <c r="I131" s="2" t="n">
        <f aca="false">C131/248.3</f>
        <v>0.507450664518727</v>
      </c>
      <c r="J131" s="2" t="n">
        <f aca="false">D131/315</f>
        <v>0.936507936507937</v>
      </c>
      <c r="K131" s="0" t="n">
        <f aca="false">F131/366</f>
        <v>0.087431693989071</v>
      </c>
      <c r="L131" s="2"/>
      <c r="M131" s="5" t="n">
        <v>180</v>
      </c>
      <c r="N131" s="5" t="n">
        <f aca="false">(Q131/PI())*-180</f>
        <v>-0</v>
      </c>
      <c r="O131" s="5"/>
      <c r="P131" s="2" t="n">
        <f aca="false">SQRT(C131^2+D131^2)</f>
        <v>320.781857342338</v>
      </c>
    </row>
    <row r="132" customFormat="false" ht="15.75" hidden="false" customHeight="false" outlineLevel="0" collapsed="false">
      <c r="B132" s="2" t="s">
        <v>145</v>
      </c>
      <c r="C132" s="13" t="n">
        <v>248</v>
      </c>
      <c r="D132" s="13" t="n">
        <v>-161</v>
      </c>
      <c r="E132" s="2" t="n">
        <v>-45</v>
      </c>
      <c r="F132" s="2" t="n">
        <v>32</v>
      </c>
      <c r="G132" s="2"/>
      <c r="H132" s="11" t="n">
        <v>131</v>
      </c>
      <c r="I132" s="2" t="n">
        <f aca="false">C132/248.3</f>
        <v>0.998791784132098</v>
      </c>
      <c r="J132" s="2" t="n">
        <f aca="false">D132/315</f>
        <v>-0.511111111111111</v>
      </c>
      <c r="K132" s="0" t="n">
        <f aca="false">F132/366</f>
        <v>0.087431693989071</v>
      </c>
      <c r="L132" s="2"/>
      <c r="M132" s="5" t="n">
        <v>270</v>
      </c>
      <c r="N132" s="5" t="n">
        <f aca="false">(Q132/PI())*-180</f>
        <v>-0</v>
      </c>
      <c r="O132" s="5"/>
      <c r="P132" s="2" t="n">
        <f aca="false">SQRT(C132^2+D132^2)</f>
        <v>295.67718883945</v>
      </c>
    </row>
    <row r="133" customFormat="false" ht="15.75" hidden="false" customHeight="false" outlineLevel="0" collapsed="false">
      <c r="B133" s="2" t="s">
        <v>146</v>
      </c>
      <c r="C133" s="13" t="n">
        <v>248</v>
      </c>
      <c r="D133" s="13" t="n">
        <v>189</v>
      </c>
      <c r="E133" s="2" t="n">
        <v>-45</v>
      </c>
      <c r="F133" s="2" t="n">
        <v>32</v>
      </c>
      <c r="G133" s="2"/>
      <c r="H133" s="11" t="n">
        <v>132</v>
      </c>
      <c r="I133" s="2" t="n">
        <f aca="false">C133/248.3</f>
        <v>0.998791784132098</v>
      </c>
      <c r="J133" s="2" t="n">
        <f aca="false">D133/315</f>
        <v>0.6</v>
      </c>
      <c r="K133" s="0" t="n">
        <f aca="false">F133/366</f>
        <v>0.087431693989071</v>
      </c>
      <c r="L133" s="2"/>
      <c r="M133" s="5" t="n">
        <v>270</v>
      </c>
      <c r="N133" s="5" t="n">
        <f aca="false">(Q133/PI())*-180</f>
        <v>-0</v>
      </c>
      <c r="O133" s="5"/>
      <c r="P133" s="2" t="n">
        <f aca="false">SQRT(C133^2+D133^2)</f>
        <v>311.809236553377</v>
      </c>
    </row>
    <row r="134" customFormat="false" ht="15.75" hidden="false" customHeight="false" outlineLevel="0" collapsed="false">
      <c r="B134" s="11" t="s">
        <v>147</v>
      </c>
      <c r="C134" s="12" t="n">
        <v>-248</v>
      </c>
      <c r="D134" s="12" t="n">
        <v>0</v>
      </c>
      <c r="E134" s="11" t="n">
        <v>-45</v>
      </c>
      <c r="F134" s="11" t="n">
        <v>32</v>
      </c>
      <c r="G134" s="11"/>
      <c r="H134" s="11" t="n">
        <v>133</v>
      </c>
      <c r="I134" s="11" t="n">
        <f aca="false">C134/248.3</f>
        <v>-0.998791784132098</v>
      </c>
      <c r="J134" s="11" t="n">
        <f aca="false">D134/315</f>
        <v>0</v>
      </c>
      <c r="K134" s="11" t="n">
        <f aca="false">F134/366</f>
        <v>0.087431693989071</v>
      </c>
      <c r="L134" s="2"/>
      <c r="M134" s="5" t="n">
        <v>90</v>
      </c>
      <c r="N134" s="5" t="n">
        <f aca="false">(Q134/PI())*-180</f>
        <v>-0</v>
      </c>
      <c r="O134" s="5"/>
      <c r="P134" s="2" t="n">
        <f aca="false">SQRT(C134^2+D134^2)</f>
        <v>248</v>
      </c>
    </row>
    <row r="135" customFormat="false" ht="15.75" hidden="false" customHeight="false" outlineLevel="0" collapsed="false">
      <c r="B135" s="2" t="s">
        <v>148</v>
      </c>
      <c r="C135" s="13" t="n">
        <v>248</v>
      </c>
      <c r="D135" s="13" t="n">
        <v>0</v>
      </c>
      <c r="E135" s="2" t="n">
        <v>-45</v>
      </c>
      <c r="F135" s="2" t="n">
        <v>32</v>
      </c>
      <c r="G135" s="2"/>
      <c r="H135" s="11" t="n">
        <v>134</v>
      </c>
      <c r="I135" s="2" t="n">
        <f aca="false">C135/248.3</f>
        <v>0.998791784132098</v>
      </c>
      <c r="J135" s="2" t="n">
        <f aca="false">D135/315</f>
        <v>0</v>
      </c>
      <c r="K135" s="0" t="n">
        <f aca="false">F135/366</f>
        <v>0.087431693989071</v>
      </c>
      <c r="L135" s="2"/>
      <c r="M135" s="5" t="n">
        <v>270</v>
      </c>
      <c r="N135" s="5" t="n">
        <f aca="false">(Q135/PI())*-180</f>
        <v>-0</v>
      </c>
      <c r="O135" s="5"/>
      <c r="P135" s="2" t="n">
        <f aca="false">SQRT(C135^2+D135^2)</f>
        <v>248</v>
      </c>
    </row>
    <row r="136" customFormat="false" ht="15.75" hidden="false" customHeight="false" outlineLevel="0" collapsed="false">
      <c r="A136" s="2" t="s">
        <v>149</v>
      </c>
      <c r="B136" s="2" t="s">
        <v>150</v>
      </c>
      <c r="C136" s="13" t="n">
        <v>-200</v>
      </c>
      <c r="D136" s="13" t="n">
        <v>-269</v>
      </c>
      <c r="F136" s="2" t="n">
        <v>12</v>
      </c>
    </row>
    <row r="137" customFormat="false" ht="15.75" hidden="false" customHeight="false" outlineLevel="0" collapsed="false">
      <c r="B137" s="2" t="s">
        <v>151</v>
      </c>
      <c r="C137" s="2" t="n">
        <v>-200</v>
      </c>
      <c r="D137" s="2" t="n">
        <v>269</v>
      </c>
      <c r="F137" s="2" t="n">
        <v>12</v>
      </c>
    </row>
    <row r="138" customFormat="false" ht="15.75" hidden="false" customHeight="true" outlineLevel="0" collapsed="false">
      <c r="A138" s="0" t="s">
        <v>152</v>
      </c>
      <c r="B138" s="0" t="s">
        <v>153</v>
      </c>
      <c r="C138" s="0" t="n">
        <f aca="false">-142/2</f>
        <v>-71</v>
      </c>
      <c r="D138" s="0" t="n">
        <f aca="false">58.5/2</f>
        <v>29.25</v>
      </c>
      <c r="F138" s="0" t="n">
        <f aca="false">12*8</f>
        <v>96</v>
      </c>
      <c r="H138" s="14" t="n">
        <v>135</v>
      </c>
      <c r="I138" s="2" t="n">
        <f aca="false">C138/248.3</f>
        <v>-0.285944422070077</v>
      </c>
      <c r="J138" s="2" t="n">
        <f aca="false">D138/315</f>
        <v>0.0928571428571429</v>
      </c>
      <c r="K138" s="0" t="n">
        <f aca="false">F138/366</f>
        <v>0.262295081967213</v>
      </c>
    </row>
    <row r="139" customFormat="false" ht="15.75" hidden="false" customHeight="true" outlineLevel="0" collapsed="false">
      <c r="B139" s="0" t="s">
        <v>154</v>
      </c>
      <c r="C139" s="0" t="n">
        <v>-71</v>
      </c>
      <c r="D139" s="0" t="n">
        <f aca="false">-58.5/2</f>
        <v>-29.25</v>
      </c>
      <c r="F139" s="0" t="n">
        <f aca="false">12*8</f>
        <v>96</v>
      </c>
      <c r="H139" s="14" t="n">
        <v>136</v>
      </c>
      <c r="I139" s="2" t="n">
        <f aca="false">C139/248.3</f>
        <v>-0.285944422070077</v>
      </c>
      <c r="J139" s="15" t="n">
        <f aca="false">D139/315</f>
        <v>-0.0928571428571429</v>
      </c>
      <c r="K139" s="0" t="n">
        <f aca="false">F139/366</f>
        <v>0.262295081967213</v>
      </c>
    </row>
    <row r="140" customFormat="false" ht="15.75" hidden="false" customHeight="true" outlineLevel="0" collapsed="false">
      <c r="B140" s="0" t="s">
        <v>155</v>
      </c>
      <c r="C140" s="0" t="n">
        <v>-30</v>
      </c>
      <c r="D140" s="0" t="n">
        <f aca="false">-141/2</f>
        <v>-70.5</v>
      </c>
      <c r="F140" s="0" t="n">
        <f aca="false">12*8</f>
        <v>96</v>
      </c>
      <c r="H140" s="14" t="n">
        <v>137</v>
      </c>
      <c r="I140" s="2" t="n">
        <f aca="false">C140/248.3</f>
        <v>-0.120821586790173</v>
      </c>
      <c r="J140" s="15" t="n">
        <f aca="false">D140/315</f>
        <v>-0.223809523809524</v>
      </c>
      <c r="K140" s="0" t="n">
        <f aca="false">F140/366</f>
        <v>0.262295081967213</v>
      </c>
    </row>
    <row r="141" customFormat="false" ht="15.75" hidden="false" customHeight="true" outlineLevel="0" collapsed="false">
      <c r="B141" s="0" t="s">
        <v>156</v>
      </c>
      <c r="C141" s="0" t="n">
        <v>30</v>
      </c>
      <c r="D141" s="0" t="n">
        <f aca="false">-141/2</f>
        <v>-70.5</v>
      </c>
      <c r="F141" s="0" t="n">
        <f aca="false">12*8</f>
        <v>96</v>
      </c>
      <c r="H141" s="14" t="n">
        <v>138</v>
      </c>
      <c r="I141" s="2" t="n">
        <f aca="false">C141/248.3</f>
        <v>0.120821586790173</v>
      </c>
      <c r="J141" s="15" t="n">
        <f aca="false">D141/315</f>
        <v>-0.223809523809524</v>
      </c>
      <c r="K141" s="0" t="n">
        <f aca="false">F141/366</f>
        <v>0.262295081967213</v>
      </c>
    </row>
    <row r="142" customFormat="false" ht="15.75" hidden="false" customHeight="true" outlineLevel="0" collapsed="false">
      <c r="B142" s="0" t="s">
        <v>157</v>
      </c>
      <c r="C142" s="0" t="n">
        <v>71</v>
      </c>
      <c r="D142" s="0" t="n">
        <f aca="false">-58.5/2</f>
        <v>-29.25</v>
      </c>
      <c r="F142" s="0" t="n">
        <f aca="false">12*8</f>
        <v>96</v>
      </c>
      <c r="H142" s="14" t="n">
        <v>139</v>
      </c>
      <c r="I142" s="2" t="n">
        <f aca="false">C142/248.3</f>
        <v>0.285944422070077</v>
      </c>
      <c r="J142" s="15" t="n">
        <f aca="false">D142/315</f>
        <v>-0.0928571428571429</v>
      </c>
      <c r="K142" s="15" t="n">
        <f aca="false">F142/366</f>
        <v>0.262295081967213</v>
      </c>
    </row>
    <row r="143" customFormat="false" ht="15.75" hidden="false" customHeight="false" outlineLevel="0" collapsed="false">
      <c r="B143" s="0" t="s">
        <v>158</v>
      </c>
      <c r="C143" s="0" t="n">
        <v>71</v>
      </c>
      <c r="D143" s="0" t="n">
        <f aca="false">58.5/2</f>
        <v>29.25</v>
      </c>
      <c r="E143" s="13" t="n">
        <v>-45</v>
      </c>
      <c r="F143" s="0" t="n">
        <f aca="false">12*8</f>
        <v>96</v>
      </c>
      <c r="H143" s="14" t="n">
        <v>140</v>
      </c>
      <c r="I143" s="2" t="n">
        <f aca="false">C143/248.3</f>
        <v>0.285944422070077</v>
      </c>
      <c r="J143" s="15" t="n">
        <f aca="false">D143/315</f>
        <v>0.0928571428571429</v>
      </c>
      <c r="K143" s="0" t="n">
        <f aca="false">F143/366</f>
        <v>0.262295081967213</v>
      </c>
    </row>
    <row r="144" customFormat="false" ht="15.75" hidden="false" customHeight="false" outlineLevel="0" collapsed="false">
      <c r="B144" s="0" t="s">
        <v>159</v>
      </c>
      <c r="C144" s="0" t="n">
        <v>30</v>
      </c>
      <c r="D144" s="0" t="n">
        <f aca="false">141/2</f>
        <v>70.5</v>
      </c>
      <c r="E144" s="13" t="n">
        <v>-45</v>
      </c>
      <c r="F144" s="0" t="n">
        <f aca="false">12*8</f>
        <v>96</v>
      </c>
      <c r="H144" s="14" t="n">
        <v>141</v>
      </c>
      <c r="I144" s="2" t="n">
        <f aca="false">C144/248.3</f>
        <v>0.120821586790173</v>
      </c>
      <c r="J144" s="15" t="n">
        <f aca="false">D144/315</f>
        <v>0.223809523809524</v>
      </c>
      <c r="K144" s="0" t="n">
        <f aca="false">F144/366</f>
        <v>0.262295081967213</v>
      </c>
    </row>
    <row r="145" customFormat="false" ht="15.75" hidden="false" customHeight="false" outlineLevel="0" collapsed="false">
      <c r="B145" s="0" t="s">
        <v>160</v>
      </c>
      <c r="C145" s="0" t="n">
        <v>-30</v>
      </c>
      <c r="D145" s="0" t="n">
        <f aca="false">141/2</f>
        <v>70.5</v>
      </c>
      <c r="E145" s="13" t="n">
        <v>-45</v>
      </c>
      <c r="F145" s="0" t="n">
        <f aca="false">12*8</f>
        <v>96</v>
      </c>
      <c r="H145" s="14" t="n">
        <v>142</v>
      </c>
      <c r="I145" s="2" t="n">
        <f aca="false">C145/248.3</f>
        <v>-0.120821586790173</v>
      </c>
      <c r="J145" s="15" t="n">
        <f aca="false">D145/315</f>
        <v>0.223809523809524</v>
      </c>
      <c r="K145" s="0" t="n">
        <f aca="false">F145/366</f>
        <v>0.262295081967213</v>
      </c>
    </row>
    <row r="146" customFormat="false" ht="15.75" hidden="false" customHeight="false" outlineLevel="0" collapsed="false">
      <c r="E146" s="13" t="n">
        <v>-45</v>
      </c>
      <c r="J146" s="2"/>
    </row>
    <row r="147" customFormat="false" ht="15.75" hidden="false" customHeight="false" outlineLevel="0" collapsed="false">
      <c r="E147" s="13" t="n">
        <v>-45</v>
      </c>
    </row>
    <row r="148" customFormat="false" ht="15.75" hidden="false" customHeight="false" outlineLevel="0" collapsed="false">
      <c r="E148" s="13" t="n">
        <v>-45</v>
      </c>
    </row>
    <row r="149" customFormat="false" ht="15.75" hidden="false" customHeight="false" outlineLevel="0" collapsed="false">
      <c r="E149" s="13" t="n">
        <v>-45</v>
      </c>
    </row>
    <row r="150" customFormat="false" ht="12.75" hidden="false" customHeight="false" outlineLevel="0" collapsed="false">
      <c r="E150" s="13" t="n">
        <v>-45</v>
      </c>
    </row>
    <row r="151" customFormat="false" ht="12.75" hidden="false" customHeight="false" outlineLevel="0" collapsed="false">
      <c r="E151" s="13" t="n">
        <v>-45</v>
      </c>
    </row>
    <row r="152" customFormat="false" ht="12.75" hidden="false" customHeight="false" outlineLevel="0" collapsed="false">
      <c r="E152" s="13" t="n">
        <v>-45</v>
      </c>
    </row>
    <row r="153" customFormat="false" ht="12.75" hidden="false" customHeight="false" outlineLevel="0" collapsed="false">
      <c r="E153" s="13" t="n">
        <v>-55</v>
      </c>
    </row>
    <row r="1048576" customFormat="false" ht="15.75" hidden="false" customHeight="true" outlineLevel="0" collapsed="false">
      <c r="F1048576" s="0" t="n">
        <f aca="false">12*8</f>
        <v>96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48576"/>
  <sheetViews>
    <sheetView showFormulas="false" showGridLines="true" showRowColHeaders="true" showZeros="true" rightToLeft="false" tabSelected="false" showOutlineSymbols="true" defaultGridColor="true" view="normal" topLeftCell="A135" colorId="64" zoomScale="100" zoomScaleNormal="100" zoomScalePageLayoutView="100" workbookViewId="0">
      <selection pane="topLeft" activeCell="F145" activeCellId="0" sqref="F145"/>
    </sheetView>
  </sheetViews>
  <sheetFormatPr defaultColWidth="12.66796875" defaultRowHeight="15.75" customHeight="true" zeroHeight="false" outlineLevelRow="0" outlineLevelCol="0"/>
  <cols>
    <col collapsed="false" customWidth="true" hidden="false" outlineLevel="0" max="2" min="2" style="0" width="7.67"/>
    <col collapsed="false" customWidth="true" hidden="false" outlineLevel="0" max="3" min="3" style="0" width="5.66"/>
    <col collapsed="false" customWidth="false" hidden="true" outlineLevel="0" max="5" min="5" style="0" width="12.67"/>
    <col collapsed="false" customWidth="true" hidden="false" outlineLevel="0" max="6" min="6" style="0" width="5.16"/>
    <col collapsed="false" customWidth="true" hidden="false" outlineLevel="0" max="7" min="7" style="0" width="28.16"/>
    <col collapsed="false" customWidth="true" hidden="false" outlineLevel="0" max="8" min="8" style="0" width="3.67"/>
    <col collapsed="false" customWidth="true" hidden="false" outlineLevel="0" max="9" min="9" style="0" width="13.16"/>
    <col collapsed="false" customWidth="true" hidden="false" outlineLevel="0" max="10" min="10" style="0" width="14.67"/>
    <col collapsed="false" customWidth="true" hidden="false" outlineLevel="0" max="11" min="11" style="0" width="12.16"/>
    <col collapsed="false" customWidth="true" hidden="false" outlineLevel="0" max="12" min="12" style="0" width="10.66"/>
    <col collapsed="false" customWidth="true" hidden="false" outlineLevel="0" max="13" min="13" style="0" width="12.33"/>
    <col collapsed="false" customWidth="true" hidden="false" outlineLevel="0" max="15" min="14" style="0" width="12.83"/>
  </cols>
  <sheetData>
    <row r="1" customFormat="false" ht="15.75" hidden="false" customHeight="true" outlineLevel="0" collapsed="false">
      <c r="A1" s="0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4</v>
      </c>
      <c r="G1" s="2"/>
      <c r="H1" s="2"/>
      <c r="I1" s="2" t="s">
        <v>5</v>
      </c>
      <c r="M1" s="2" t="s">
        <v>6</v>
      </c>
      <c r="N1" s="2" t="s">
        <v>7</v>
      </c>
      <c r="O1" s="2"/>
      <c r="P1" s="2" t="s">
        <v>8</v>
      </c>
      <c r="Q1" s="2" t="s">
        <v>9</v>
      </c>
    </row>
    <row r="2" customFormat="false" ht="15.75" hidden="false" customHeight="true" outlineLevel="0" collapsed="false">
      <c r="A2" s="3" t="s">
        <v>10</v>
      </c>
      <c r="B2" s="1" t="s">
        <v>11</v>
      </c>
      <c r="C2" s="4" t="n">
        <v>-247.8</v>
      </c>
      <c r="D2" s="1" t="n">
        <v>267.5</v>
      </c>
      <c r="E2" s="1" t="n">
        <v>15</v>
      </c>
      <c r="F2" s="0" t="n">
        <f aca="false">E2+69</f>
        <v>84</v>
      </c>
      <c r="G2" s="2"/>
      <c r="H2" s="2" t="n">
        <v>1</v>
      </c>
      <c r="I2" s="2" t="n">
        <f aca="false">C2/248.3</f>
        <v>-0.99798630688683</v>
      </c>
      <c r="J2" s="2" t="n">
        <f aca="false">D2/315</f>
        <v>0.849206349206349</v>
      </c>
      <c r="K2" s="0" t="n">
        <f aca="false">F2/366</f>
        <v>0.229508196721311</v>
      </c>
      <c r="L2" s="2"/>
      <c r="M2" s="2" t="n">
        <v>1</v>
      </c>
      <c r="N2" s="5" t="n">
        <f aca="false">(Q2/PI())*-180</f>
        <v>-12.9726397934</v>
      </c>
      <c r="O2" s="5"/>
      <c r="P2" s="2" t="n">
        <f aca="false">SQRT(C2^2+D2^2)</f>
        <v>364.638300237372</v>
      </c>
      <c r="Q2" s="2" t="n">
        <f aca="false">ATAN(F2/P2)</f>
        <v>0.226415277070067</v>
      </c>
    </row>
    <row r="3" customFormat="false" ht="15.75" hidden="false" customHeight="true" outlineLevel="0" collapsed="false">
      <c r="B3" s="1" t="s">
        <v>12</v>
      </c>
      <c r="C3" s="4" t="n">
        <v>-247.8</v>
      </c>
      <c r="D3" s="1" t="n">
        <v>234.9</v>
      </c>
      <c r="E3" s="1" t="n">
        <v>15</v>
      </c>
      <c r="F3" s="0" t="n">
        <f aca="false">E3+69</f>
        <v>84</v>
      </c>
      <c r="G3" s="2"/>
      <c r="H3" s="2" t="n">
        <v>2</v>
      </c>
      <c r="I3" s="2" t="n">
        <f aca="false">C3/248.3</f>
        <v>-0.99798630688683</v>
      </c>
      <c r="J3" s="2" t="n">
        <f aca="false">D3/315</f>
        <v>0.745714285714286</v>
      </c>
      <c r="K3" s="0" t="n">
        <f aca="false">F3/366</f>
        <v>0.229508196721311</v>
      </c>
      <c r="L3" s="2"/>
      <c r="M3" s="5" t="n">
        <v>90</v>
      </c>
      <c r="N3" s="5" t="n">
        <f aca="false">(Q3/PI())*-180</f>
        <v>-13.821161072019</v>
      </c>
      <c r="O3" s="5"/>
      <c r="P3" s="2" t="n">
        <f aca="false">SQRT(C3^2+D3^2)</f>
        <v>341.442308450491</v>
      </c>
      <c r="Q3" s="2" t="n">
        <f aca="false">ATAN(F3/P3)</f>
        <v>0.241224767155201</v>
      </c>
    </row>
    <row r="4" customFormat="false" ht="15.75" hidden="false" customHeight="true" outlineLevel="0" collapsed="false">
      <c r="B4" s="1" t="s">
        <v>13</v>
      </c>
      <c r="C4" s="4" t="n">
        <v>-247.8</v>
      </c>
      <c r="D4" s="1" t="n">
        <v>204.3</v>
      </c>
      <c r="E4" s="1" t="n">
        <v>15</v>
      </c>
      <c r="F4" s="0" t="n">
        <f aca="false">E4+69</f>
        <v>84</v>
      </c>
      <c r="G4" s="2"/>
      <c r="H4" s="2" t="n">
        <v>3</v>
      </c>
      <c r="I4" s="2" t="n">
        <f aca="false">C4/248.3</f>
        <v>-0.99798630688683</v>
      </c>
      <c r="J4" s="2" t="n">
        <f aca="false">D4/315</f>
        <v>0.648571428571429</v>
      </c>
      <c r="K4" s="0" t="n">
        <f aca="false">F4/366</f>
        <v>0.229508196721311</v>
      </c>
      <c r="L4" s="2"/>
      <c r="M4" s="5" t="n">
        <v>90</v>
      </c>
      <c r="N4" s="5" t="n">
        <f aca="false">(Q4/PI())*-180</f>
        <v>-14.6574986733242</v>
      </c>
      <c r="O4" s="5"/>
      <c r="P4" s="2" t="n">
        <f aca="false">SQRT(C4^2+D4^2)</f>
        <v>321.15935296983</v>
      </c>
      <c r="Q4" s="2" t="n">
        <f aca="false">ATAN(F4/P4)</f>
        <v>0.255821611956208</v>
      </c>
    </row>
    <row r="5" customFormat="false" ht="15.75" hidden="false" customHeight="true" outlineLevel="0" collapsed="false">
      <c r="B5" s="1" t="s">
        <v>14</v>
      </c>
      <c r="C5" s="4" t="n">
        <v>-247.8</v>
      </c>
      <c r="D5" s="1" t="n">
        <v>172.6</v>
      </c>
      <c r="E5" s="1" t="n">
        <v>15</v>
      </c>
      <c r="F5" s="0" t="n">
        <f aca="false">E5+69</f>
        <v>84</v>
      </c>
      <c r="G5" s="2"/>
      <c r="H5" s="2" t="n">
        <v>4</v>
      </c>
      <c r="I5" s="2" t="n">
        <f aca="false">C5/248.3</f>
        <v>-0.99798630688683</v>
      </c>
      <c r="J5" s="2" t="n">
        <f aca="false">D5/315</f>
        <v>0.547936507936508</v>
      </c>
      <c r="K5" s="0" t="n">
        <f aca="false">F5/366</f>
        <v>0.229508196721311</v>
      </c>
      <c r="L5" s="2"/>
      <c r="M5" s="5" t="n">
        <v>90</v>
      </c>
      <c r="N5" s="5" t="n">
        <f aca="false">(Q5/PI())*-180</f>
        <v>-15.5443604603174</v>
      </c>
      <c r="O5" s="5"/>
      <c r="P5" s="2" t="n">
        <f aca="false">SQRT(C5^2+D5^2)</f>
        <v>301.986092394998</v>
      </c>
      <c r="Q5" s="2" t="n">
        <f aca="false">ATAN(F5/P5)</f>
        <v>0.27130027014936</v>
      </c>
    </row>
    <row r="6" customFormat="false" ht="15.75" hidden="false" customHeight="true" outlineLevel="0" collapsed="false">
      <c r="B6" s="1" t="s">
        <v>15</v>
      </c>
      <c r="C6" s="4" t="n">
        <v>-247.8</v>
      </c>
      <c r="D6" s="1" t="n">
        <v>141</v>
      </c>
      <c r="E6" s="1" t="n">
        <v>15</v>
      </c>
      <c r="F6" s="0" t="n">
        <f aca="false">E6+69</f>
        <v>84</v>
      </c>
      <c r="G6" s="2"/>
      <c r="H6" s="2" t="n">
        <v>5</v>
      </c>
      <c r="I6" s="2" t="n">
        <f aca="false">C6/248.3</f>
        <v>-0.99798630688683</v>
      </c>
      <c r="J6" s="2" t="n">
        <f aca="false">D6/315</f>
        <v>0.447619047619048</v>
      </c>
      <c r="K6" s="0" t="n">
        <f aca="false">F6/366</f>
        <v>0.229508196721311</v>
      </c>
      <c r="L6" s="2"/>
      <c r="M6" s="5" t="n">
        <v>90</v>
      </c>
      <c r="N6" s="5" t="n">
        <f aca="false">(Q6/PI())*-180</f>
        <v>-16.4163715823259</v>
      </c>
      <c r="O6" s="5"/>
      <c r="P6" s="2" t="n">
        <f aca="false">SQRT(C6^2+D6^2)</f>
        <v>285.106716862301</v>
      </c>
      <c r="Q6" s="2" t="n">
        <f aca="false">ATAN(F6/P6)</f>
        <v>0.286519735342419</v>
      </c>
    </row>
    <row r="7" customFormat="false" ht="15.75" hidden="false" customHeight="true" outlineLevel="0" collapsed="false">
      <c r="B7" s="1" t="s">
        <v>16</v>
      </c>
      <c r="C7" s="4" t="n">
        <v>-247.8</v>
      </c>
      <c r="D7" s="1" t="n">
        <v>109.4</v>
      </c>
      <c r="E7" s="1" t="n">
        <v>15</v>
      </c>
      <c r="F7" s="0" t="n">
        <f aca="false">E7+69</f>
        <v>84</v>
      </c>
      <c r="G7" s="2"/>
      <c r="H7" s="2" t="n">
        <v>6</v>
      </c>
      <c r="I7" s="2" t="n">
        <f aca="false">C7/248.3</f>
        <v>-0.99798630688683</v>
      </c>
      <c r="J7" s="2" t="n">
        <f aca="false">D7/315</f>
        <v>0.347301587301587</v>
      </c>
      <c r="K7" s="0" t="n">
        <f aca="false">F7/366</f>
        <v>0.229508196721311</v>
      </c>
      <c r="L7" s="2"/>
      <c r="M7" s="5" t="n">
        <v>90</v>
      </c>
      <c r="N7" s="5" t="n">
        <f aca="false">(Q7/PI())*-180</f>
        <v>-17.2289913361914</v>
      </c>
      <c r="O7" s="5"/>
      <c r="P7" s="2" t="n">
        <f aca="false">SQRT(C7^2+D7^2)</f>
        <v>270.874878864763</v>
      </c>
      <c r="Q7" s="2" t="n">
        <f aca="false">ATAN(F7/P7)</f>
        <v>0.300702625614118</v>
      </c>
    </row>
    <row r="8" customFormat="false" ht="15.75" hidden="false" customHeight="true" outlineLevel="0" collapsed="false">
      <c r="B8" s="1" t="s">
        <v>17</v>
      </c>
      <c r="C8" s="4" t="n">
        <v>-247.8</v>
      </c>
      <c r="D8" s="1" t="n">
        <v>77.8</v>
      </c>
      <c r="E8" s="1" t="n">
        <v>15</v>
      </c>
      <c r="F8" s="0" t="n">
        <f aca="false">E8+69</f>
        <v>84</v>
      </c>
      <c r="G8" s="2"/>
      <c r="H8" s="2" t="n">
        <v>7</v>
      </c>
      <c r="I8" s="2" t="n">
        <f aca="false">C8/248.3</f>
        <v>-0.99798630688683</v>
      </c>
      <c r="J8" s="2" t="n">
        <f aca="false">D8/315</f>
        <v>0.246984126984127</v>
      </c>
      <c r="K8" s="0" t="n">
        <f aca="false">F8/366</f>
        <v>0.229508196721311</v>
      </c>
      <c r="L8" s="2"/>
      <c r="M8" s="5" t="n">
        <v>90</v>
      </c>
      <c r="N8" s="5" t="n">
        <f aca="false">(Q8/PI())*-180</f>
        <v>-17.9221177652624</v>
      </c>
      <c r="O8" s="5"/>
      <c r="P8" s="2" t="n">
        <f aca="false">SQRT(C8^2+D8^2)</f>
        <v>259.726163487624</v>
      </c>
      <c r="Q8" s="2" t="n">
        <f aca="false">ATAN(F8/P8)</f>
        <v>0.312799963933997</v>
      </c>
    </row>
    <row r="9" customFormat="false" ht="15.75" hidden="false" customHeight="true" outlineLevel="0" collapsed="false">
      <c r="B9" s="1" t="s">
        <v>18</v>
      </c>
      <c r="C9" s="4" t="n">
        <v>-247.8</v>
      </c>
      <c r="D9" s="1" t="n">
        <v>45.2</v>
      </c>
      <c r="E9" s="1" t="n">
        <v>15</v>
      </c>
      <c r="F9" s="0" t="n">
        <f aca="false">E9+69</f>
        <v>84</v>
      </c>
      <c r="G9" s="2"/>
      <c r="H9" s="2" t="n">
        <v>8</v>
      </c>
      <c r="I9" s="2" t="n">
        <f aca="false">C9/248.3</f>
        <v>-0.99798630688683</v>
      </c>
      <c r="J9" s="2" t="n">
        <f aca="false">D9/315</f>
        <v>0.143492063492064</v>
      </c>
      <c r="K9" s="0" t="n">
        <f aca="false">F9/366</f>
        <v>0.229508196721311</v>
      </c>
      <c r="L9" s="2"/>
      <c r="M9" s="5" t="n">
        <v>90</v>
      </c>
      <c r="N9" s="5" t="n">
        <f aca="false">(Q9/PI())*-180</f>
        <v>-18.4425485716183</v>
      </c>
      <c r="O9" s="5"/>
      <c r="P9" s="2" t="n">
        <f aca="false">SQRT(C9^2+D9^2)</f>
        <v>251.888626182287</v>
      </c>
      <c r="Q9" s="2" t="n">
        <f aca="false">ATAN(F9/P9)</f>
        <v>0.321883195033716</v>
      </c>
    </row>
    <row r="10" customFormat="false" ht="15.75" hidden="false" customHeight="true" outlineLevel="0" collapsed="false">
      <c r="B10" s="1" t="s">
        <v>19</v>
      </c>
      <c r="C10" s="4" t="n">
        <v>-247.8</v>
      </c>
      <c r="D10" s="1" t="n">
        <v>14.5</v>
      </c>
      <c r="E10" s="1" t="n">
        <v>15</v>
      </c>
      <c r="F10" s="0" t="n">
        <f aca="false">E10+69</f>
        <v>84</v>
      </c>
      <c r="G10" s="2"/>
      <c r="H10" s="2" t="n">
        <v>9</v>
      </c>
      <c r="I10" s="2" t="n">
        <f aca="false">C10/248.3</f>
        <v>-0.99798630688683</v>
      </c>
      <c r="J10" s="2" t="n">
        <f aca="false">D10/315</f>
        <v>0.046031746031746</v>
      </c>
      <c r="K10" s="0" t="n">
        <f aca="false">F10/366</f>
        <v>0.229508196721311</v>
      </c>
      <c r="L10" s="2"/>
      <c r="M10" s="5" t="n">
        <v>90</v>
      </c>
      <c r="N10" s="5" t="n">
        <f aca="false">(Q10/PI())*-180</f>
        <v>-18.6960350836183</v>
      </c>
      <c r="O10" s="5"/>
      <c r="P10" s="2" t="n">
        <f aca="false">SQRT(C10^2+D10^2)</f>
        <v>248.22387072963</v>
      </c>
      <c r="Q10" s="2" t="n">
        <f aca="false">ATAN(F10/P10)</f>
        <v>0.326307369277513</v>
      </c>
    </row>
    <row r="11" customFormat="false" ht="15.75" hidden="false" customHeight="true" outlineLevel="0" collapsed="false">
      <c r="B11" s="1" t="s">
        <v>20</v>
      </c>
      <c r="C11" s="4" t="n">
        <v>-247.8</v>
      </c>
      <c r="D11" s="1" t="n">
        <v>-17.1</v>
      </c>
      <c r="E11" s="1" t="n">
        <v>15</v>
      </c>
      <c r="F11" s="0" t="n">
        <f aca="false">E11+69</f>
        <v>84</v>
      </c>
      <c r="G11" s="2"/>
      <c r="H11" s="2" t="n">
        <v>10</v>
      </c>
      <c r="I11" s="2" t="n">
        <f aca="false">C11/248.3</f>
        <v>-0.99798630688683</v>
      </c>
      <c r="J11" s="2" t="n">
        <f aca="false">D11/315</f>
        <v>-0.0542857142857143</v>
      </c>
      <c r="K11" s="0" t="n">
        <f aca="false">F11/366</f>
        <v>0.229508196721311</v>
      </c>
      <c r="L11" s="2"/>
      <c r="M11" s="5" t="n">
        <v>90</v>
      </c>
      <c r="N11" s="5" t="n">
        <f aca="false">(Q11/PI())*-180</f>
        <v>-18.6844470293033</v>
      </c>
      <c r="O11" s="5"/>
      <c r="P11" s="2" t="n">
        <f aca="false">SQRT(C11^2+D11^2)</f>
        <v>248.389311364237</v>
      </c>
      <c r="Q11" s="2" t="n">
        <f aca="false">ATAN(F11/P11)</f>
        <v>0.326105119575817</v>
      </c>
    </row>
    <row r="12" customFormat="false" ht="15.75" hidden="false" customHeight="true" outlineLevel="0" collapsed="false">
      <c r="B12" s="1" t="s">
        <v>21</v>
      </c>
      <c r="C12" s="4" t="n">
        <v>-247.8</v>
      </c>
      <c r="D12" s="1" t="n">
        <v>-49.7</v>
      </c>
      <c r="E12" s="1" t="n">
        <v>15</v>
      </c>
      <c r="F12" s="0" t="n">
        <f aca="false">E12+69</f>
        <v>84</v>
      </c>
      <c r="G12" s="2"/>
      <c r="H12" s="2" t="n">
        <v>11</v>
      </c>
      <c r="I12" s="2" t="n">
        <f aca="false">C12/248.3</f>
        <v>-0.99798630688683</v>
      </c>
      <c r="J12" s="2" t="n">
        <f aca="false">D12/315</f>
        <v>-0.157777777777778</v>
      </c>
      <c r="K12" s="0" t="n">
        <f aca="false">F12/366</f>
        <v>0.229508196721311</v>
      </c>
      <c r="L12" s="2"/>
      <c r="M12" s="5" t="n">
        <v>90</v>
      </c>
      <c r="N12" s="5" t="n">
        <f aca="false">(Q12/PI())*-180</f>
        <v>-18.3849530272683</v>
      </c>
      <c r="O12" s="5"/>
      <c r="P12" s="2" t="n">
        <f aca="false">SQRT(C12^2+D12^2)</f>
        <v>252.734900637011</v>
      </c>
      <c r="Q12" s="2" t="n">
        <f aca="false">ATAN(F12/P12)</f>
        <v>0.320877963150331</v>
      </c>
    </row>
    <row r="13" customFormat="false" ht="15.75" hidden="false" customHeight="true" outlineLevel="0" collapsed="false">
      <c r="B13" s="1" t="s">
        <v>22</v>
      </c>
      <c r="C13" s="4" t="n">
        <v>-247.8</v>
      </c>
      <c r="D13" s="1" t="n">
        <v>-80.3</v>
      </c>
      <c r="E13" s="1" t="n">
        <v>15</v>
      </c>
      <c r="F13" s="0" t="n">
        <f aca="false">E13+69</f>
        <v>84</v>
      </c>
      <c r="G13" s="2"/>
      <c r="H13" s="2" t="n">
        <v>12</v>
      </c>
      <c r="I13" s="2" t="n">
        <f aca="false">C13/248.3</f>
        <v>-0.99798630688683</v>
      </c>
      <c r="J13" s="2" t="n">
        <f aca="false">D13/315</f>
        <v>-0.254920634920635</v>
      </c>
      <c r="K13" s="0" t="n">
        <f aca="false">F13/366</f>
        <v>0.229508196721311</v>
      </c>
      <c r="L13" s="2"/>
      <c r="M13" s="5" t="n">
        <v>90</v>
      </c>
      <c r="N13" s="5" t="n">
        <f aca="false">(Q13/PI())*-180</f>
        <v>-17.8731727366979</v>
      </c>
      <c r="O13" s="5"/>
      <c r="P13" s="2" t="n">
        <f aca="false">SQRT(C13^2+D13^2)</f>
        <v>260.485949717063</v>
      </c>
      <c r="Q13" s="2" t="n">
        <f aca="false">ATAN(F13/P13)</f>
        <v>0.311945712033065</v>
      </c>
    </row>
    <row r="14" customFormat="false" ht="15.75" hidden="false" customHeight="true" outlineLevel="0" collapsed="false">
      <c r="B14" s="1" t="s">
        <v>23</v>
      </c>
      <c r="C14" s="4" t="n">
        <v>-247.8</v>
      </c>
      <c r="D14" s="1" t="n">
        <v>-111.9</v>
      </c>
      <c r="E14" s="1" t="n">
        <v>15</v>
      </c>
      <c r="F14" s="0" t="n">
        <f aca="false">E14+69</f>
        <v>84</v>
      </c>
      <c r="G14" s="2"/>
      <c r="H14" s="2" t="n">
        <v>13</v>
      </c>
      <c r="I14" s="2" t="n">
        <f aca="false">C14/248.3</f>
        <v>-0.99798630688683</v>
      </c>
      <c r="J14" s="2" t="n">
        <f aca="false">D14/315</f>
        <v>-0.355238095238095</v>
      </c>
      <c r="K14" s="0" t="n">
        <f aca="false">F14/366</f>
        <v>0.229508196721311</v>
      </c>
      <c r="L14" s="2"/>
      <c r="M14" s="5" t="n">
        <v>90</v>
      </c>
      <c r="N14" s="5" t="n">
        <f aca="false">(Q14/PI())*-180</f>
        <v>-17.168204995082</v>
      </c>
      <c r="O14" s="5"/>
      <c r="P14" s="2" t="n">
        <f aca="false">SQRT(C14^2+D14^2)</f>
        <v>271.894188977992</v>
      </c>
      <c r="Q14" s="2" t="n">
        <f aca="false">ATAN(F14/P14)</f>
        <v>0.299641703821517</v>
      </c>
    </row>
    <row r="15" customFormat="false" ht="15.75" hidden="false" customHeight="true" outlineLevel="0" collapsed="false">
      <c r="B15" s="1" t="s">
        <v>24</v>
      </c>
      <c r="C15" s="4" t="n">
        <v>-247.8</v>
      </c>
      <c r="D15" s="1" t="n">
        <v>-144.6</v>
      </c>
      <c r="E15" s="1" t="n">
        <v>15</v>
      </c>
      <c r="F15" s="0" t="n">
        <f aca="false">E15+69</f>
        <v>84</v>
      </c>
      <c r="G15" s="2"/>
      <c r="H15" s="2" t="n">
        <v>14</v>
      </c>
      <c r="I15" s="2" t="n">
        <f aca="false">C15/248.3</f>
        <v>-0.99798630688683</v>
      </c>
      <c r="J15" s="2" t="n">
        <f aca="false">D15/315</f>
        <v>-0.459047619047619</v>
      </c>
      <c r="K15" s="0" t="n">
        <f aca="false">F15/366</f>
        <v>0.229508196721311</v>
      </c>
      <c r="L15" s="2"/>
      <c r="M15" s="5" t="n">
        <v>90</v>
      </c>
      <c r="N15" s="5" t="n">
        <f aca="false">(Q15/PI())*-180</f>
        <v>-16.3190118343287</v>
      </c>
      <c r="O15" s="5"/>
      <c r="P15" s="2" t="n">
        <f aca="false">SQRT(C15^2+D15^2)</f>
        <v>286.904165184126</v>
      </c>
      <c r="Q15" s="2" t="n">
        <f aca="false">ATAN(F15/P15)</f>
        <v>0.284820487180954</v>
      </c>
    </row>
    <row r="16" customFormat="false" ht="15.75" hidden="false" customHeight="true" outlineLevel="0" collapsed="false">
      <c r="B16" s="1" t="s">
        <v>25</v>
      </c>
      <c r="C16" s="4" t="n">
        <v>-247.8</v>
      </c>
      <c r="D16" s="1" t="n">
        <v>-175.2</v>
      </c>
      <c r="E16" s="1" t="n">
        <v>15</v>
      </c>
      <c r="F16" s="0" t="n">
        <f aca="false">E16+69</f>
        <v>84</v>
      </c>
      <c r="G16" s="2"/>
      <c r="H16" s="2" t="n">
        <v>15</v>
      </c>
      <c r="I16" s="2" t="n">
        <f aca="false">C16/248.3</f>
        <v>-0.99798630688683</v>
      </c>
      <c r="J16" s="2" t="n">
        <f aca="false">D16/315</f>
        <v>-0.556190476190476</v>
      </c>
      <c r="K16" s="0" t="n">
        <f aca="false">F16/366</f>
        <v>0.229508196721311</v>
      </c>
      <c r="L16" s="2"/>
      <c r="M16" s="5" t="n">
        <v>90</v>
      </c>
      <c r="N16" s="5" t="n">
        <f aca="false">(Q16/PI())*-180</f>
        <v>-15.4715344774884</v>
      </c>
      <c r="O16" s="5"/>
      <c r="P16" s="2" t="n">
        <f aca="false">SQRT(C16^2+D16^2)</f>
        <v>303.479620403084</v>
      </c>
      <c r="Q16" s="2" t="n">
        <f aca="false">ATAN(F16/P16)</f>
        <v>0.270029216967992</v>
      </c>
    </row>
    <row r="17" customFormat="false" ht="15.75" hidden="false" customHeight="true" outlineLevel="0" collapsed="false">
      <c r="B17" s="1" t="s">
        <v>26</v>
      </c>
      <c r="C17" s="4" t="n">
        <v>-247.8</v>
      </c>
      <c r="D17" s="1" t="n">
        <v>-206.8</v>
      </c>
      <c r="E17" s="1" t="n">
        <v>15</v>
      </c>
      <c r="F17" s="0" t="n">
        <f aca="false">E17+69</f>
        <v>84</v>
      </c>
      <c r="G17" s="2"/>
      <c r="H17" s="2" t="n">
        <v>16</v>
      </c>
      <c r="I17" s="2" t="n">
        <f aca="false">C17/248.3</f>
        <v>-0.99798630688683</v>
      </c>
      <c r="J17" s="2" t="n">
        <f aca="false">D17/315</f>
        <v>-0.656507936507937</v>
      </c>
      <c r="K17" s="0" t="n">
        <f aca="false">F17/366</f>
        <v>0.229508196721311</v>
      </c>
      <c r="L17" s="2"/>
      <c r="M17" s="5" t="n">
        <v>90</v>
      </c>
      <c r="N17" s="5" t="n">
        <f aca="false">(Q17/PI())*-180</f>
        <v>-14.5881135513072</v>
      </c>
      <c r="O17" s="5"/>
      <c r="P17" s="2" t="n">
        <f aca="false">SQRT(C17^2+D17^2)</f>
        <v>322.755449218135</v>
      </c>
      <c r="Q17" s="2" t="n">
        <f aca="false">ATAN(F17/P17)</f>
        <v>0.254610613125114</v>
      </c>
    </row>
    <row r="18" customFormat="false" ht="15.75" hidden="false" customHeight="true" outlineLevel="0" collapsed="false">
      <c r="B18" s="1" t="s">
        <v>27</v>
      </c>
      <c r="C18" s="4" t="n">
        <v>-247.8</v>
      </c>
      <c r="D18" s="1" t="n">
        <v>-239.4</v>
      </c>
      <c r="E18" s="1" t="n">
        <v>15</v>
      </c>
      <c r="F18" s="0" t="n">
        <f aca="false">E18+69</f>
        <v>84</v>
      </c>
      <c r="G18" s="2"/>
      <c r="H18" s="2" t="n">
        <v>17</v>
      </c>
      <c r="I18" s="2" t="n">
        <f aca="false">C18/248.3</f>
        <v>-0.99798630688683</v>
      </c>
      <c r="J18" s="2" t="n">
        <f aca="false">D18/315</f>
        <v>-0.76</v>
      </c>
      <c r="K18" s="0" t="n">
        <f aca="false">F18/366</f>
        <v>0.229508196721311</v>
      </c>
      <c r="L18" s="2"/>
      <c r="M18" s="5" t="n">
        <v>90</v>
      </c>
      <c r="N18" s="5" t="n">
        <f aca="false">(Q18/PI())*-180</f>
        <v>-13.7010799325696</v>
      </c>
      <c r="O18" s="5"/>
      <c r="P18" s="2" t="n">
        <f aca="false">SQRT(C18^2+D18^2)</f>
        <v>344.553624273494</v>
      </c>
      <c r="Q18" s="2" t="n">
        <f aca="false">ATAN(F18/P18)</f>
        <v>0.239128955902262</v>
      </c>
    </row>
    <row r="19" customFormat="false" ht="15.75" hidden="false" customHeight="true" outlineLevel="0" collapsed="false">
      <c r="B19" s="1" t="s">
        <v>28</v>
      </c>
      <c r="C19" s="4" t="n">
        <v>-247.8</v>
      </c>
      <c r="D19" s="1" t="n">
        <v>-270</v>
      </c>
      <c r="E19" s="1" t="n">
        <v>15</v>
      </c>
      <c r="F19" s="0" t="n">
        <f aca="false">E19+69</f>
        <v>84</v>
      </c>
      <c r="G19" s="2"/>
      <c r="H19" s="2" t="n">
        <v>18</v>
      </c>
      <c r="I19" s="2" t="n">
        <f aca="false">C19/248.3</f>
        <v>-0.99798630688683</v>
      </c>
      <c r="J19" s="2" t="n">
        <f aca="false">D19/315</f>
        <v>-0.857142857142857</v>
      </c>
      <c r="K19" s="0" t="n">
        <f aca="false">F19/366</f>
        <v>0.229508196721311</v>
      </c>
      <c r="L19" s="2"/>
      <c r="M19" s="5" t="n">
        <v>90</v>
      </c>
      <c r="N19" s="5" t="n">
        <f aca="false">(Q19/PI())*-180</f>
        <v>-12.9097645071885</v>
      </c>
      <c r="O19" s="5"/>
      <c r="P19" s="2" t="n">
        <f aca="false">SQRT(C19^2+D19^2)</f>
        <v>366.476247524993</v>
      </c>
      <c r="Q19" s="2" t="n">
        <f aca="false">ATAN(F19/P19)</f>
        <v>0.225317896307543</v>
      </c>
    </row>
    <row r="20" customFormat="false" ht="15.75" hidden="false" customHeight="true" outlineLevel="0" collapsed="false">
      <c r="B20" s="1" t="s">
        <v>29</v>
      </c>
      <c r="C20" s="4" t="n">
        <v>-204.8</v>
      </c>
      <c r="D20" s="6" t="n">
        <v>-296.9</v>
      </c>
      <c r="E20" s="1" t="n">
        <v>15</v>
      </c>
      <c r="F20" s="0" t="n">
        <f aca="false">E20+69</f>
        <v>84</v>
      </c>
      <c r="G20" s="2"/>
      <c r="H20" s="2" t="n">
        <v>19</v>
      </c>
      <c r="I20" s="2" t="n">
        <f aca="false">C20/248.3</f>
        <v>-0.824808699154249</v>
      </c>
      <c r="J20" s="2" t="n">
        <f aca="false">D20/315</f>
        <v>-0.942539682539683</v>
      </c>
      <c r="K20" s="0" t="n">
        <f aca="false">F20/366</f>
        <v>0.229508196721311</v>
      </c>
      <c r="L20" s="2"/>
      <c r="M20" s="5" t="n">
        <v>0</v>
      </c>
      <c r="N20" s="5" t="n">
        <f aca="false">(Q20/PI())*-180</f>
        <v>-13.1099905415332</v>
      </c>
      <c r="O20" s="5"/>
      <c r="P20" s="2" t="n">
        <f aca="false">SQRT(C20^2+D20^2)</f>
        <v>360.683587095393</v>
      </c>
      <c r="Q20" s="2" t="n">
        <f aca="false">ATAN(F20/P20)</f>
        <v>0.228812499855068</v>
      </c>
    </row>
    <row r="21" customFormat="false" ht="15.75" hidden="false" customHeight="true" outlineLevel="0" collapsed="false">
      <c r="B21" s="1" t="s">
        <v>30</v>
      </c>
      <c r="C21" s="1" t="n">
        <v>-173.2</v>
      </c>
      <c r="D21" s="6" t="n">
        <v>-296.9</v>
      </c>
      <c r="E21" s="1" t="n">
        <v>15</v>
      </c>
      <c r="F21" s="0" t="n">
        <f aca="false">E21+69</f>
        <v>84</v>
      </c>
      <c r="G21" s="2"/>
      <c r="H21" s="2" t="n">
        <v>20</v>
      </c>
      <c r="I21" s="2" t="n">
        <f aca="false">C21/248.3</f>
        <v>-0.697543294401933</v>
      </c>
      <c r="J21" s="2" t="n">
        <f aca="false">D21/315</f>
        <v>-0.942539682539683</v>
      </c>
      <c r="K21" s="0" t="n">
        <f aca="false">F21/366</f>
        <v>0.229508196721311</v>
      </c>
      <c r="L21" s="2"/>
      <c r="M21" s="5" t="n">
        <v>0</v>
      </c>
      <c r="N21" s="5" t="n">
        <f aca="false">(Q21/PI())*-180</f>
        <v>-13.73280577714</v>
      </c>
      <c r="O21" s="5"/>
      <c r="P21" s="2" t="n">
        <f aca="false">SQRT(C21^2+D21^2)</f>
        <v>343.726417372887</v>
      </c>
      <c r="Q21" s="2" t="n">
        <f aca="false">ATAN(F21/P21)</f>
        <v>0.239682676347991</v>
      </c>
    </row>
    <row r="22" customFormat="false" ht="15.75" hidden="false" customHeight="true" outlineLevel="0" collapsed="false">
      <c r="B22" s="1" t="s">
        <v>31</v>
      </c>
      <c r="C22" s="1" t="n">
        <v>-141.6</v>
      </c>
      <c r="D22" s="6" t="n">
        <v>-296.9</v>
      </c>
      <c r="E22" s="1" t="n">
        <v>15</v>
      </c>
      <c r="F22" s="0" t="n">
        <f aca="false">E22+69</f>
        <v>84</v>
      </c>
      <c r="G22" s="2"/>
      <c r="H22" s="2" t="n">
        <v>21</v>
      </c>
      <c r="I22" s="2" t="n">
        <f aca="false">C22/248.3</f>
        <v>-0.570277889649617</v>
      </c>
      <c r="J22" s="2" t="n">
        <f aca="false">D22/315</f>
        <v>-0.942539682539683</v>
      </c>
      <c r="K22" s="0" t="n">
        <f aca="false">F22/366</f>
        <v>0.229508196721311</v>
      </c>
      <c r="L22" s="2"/>
      <c r="M22" s="5" t="n">
        <v>0</v>
      </c>
      <c r="N22" s="5" t="n">
        <f aca="false">(Q22/PI())*-180</f>
        <v>-14.3253109057638</v>
      </c>
      <c r="O22" s="5"/>
      <c r="P22" s="2" t="n">
        <f aca="false">SQRT(C22^2+D22^2)</f>
        <v>328.937942475477</v>
      </c>
      <c r="Q22" s="2" t="n">
        <f aca="false">ATAN(F22/P22)</f>
        <v>0.25002384167743</v>
      </c>
    </row>
    <row r="23" customFormat="false" ht="15.75" hidden="false" customHeight="true" outlineLevel="0" collapsed="false">
      <c r="B23" s="1" t="s">
        <v>32</v>
      </c>
      <c r="C23" s="1" t="n">
        <v>-109.9</v>
      </c>
      <c r="D23" s="6" t="n">
        <v>-296.9</v>
      </c>
      <c r="E23" s="1" t="n">
        <v>15</v>
      </c>
      <c r="F23" s="0" t="n">
        <f aca="false">E23+69</f>
        <v>84</v>
      </c>
      <c r="G23" s="2"/>
      <c r="H23" s="2" t="n">
        <v>22</v>
      </c>
      <c r="I23" s="2" t="n">
        <f aca="false">C23/248.3</f>
        <v>-0.442609746274668</v>
      </c>
      <c r="J23" s="2" t="n">
        <f aca="false">D23/315</f>
        <v>-0.942539682539683</v>
      </c>
      <c r="K23" s="0" t="n">
        <f aca="false">F23/366</f>
        <v>0.229508196721311</v>
      </c>
      <c r="L23" s="2"/>
      <c r="M23" s="5" t="n">
        <v>0</v>
      </c>
      <c r="N23" s="5" t="n">
        <f aca="false">(Q23/PI())*-180</f>
        <v>-14.8598670574779</v>
      </c>
      <c r="O23" s="5"/>
      <c r="P23" s="2" t="n">
        <f aca="false">SQRT(C23^2+D23^2)</f>
        <v>316.58746026967</v>
      </c>
      <c r="Q23" s="2" t="n">
        <f aca="false">ATAN(F23/P23)</f>
        <v>0.25935360656163</v>
      </c>
    </row>
    <row r="24" customFormat="false" ht="15.75" hidden="false" customHeight="true" outlineLevel="0" collapsed="false">
      <c r="B24" s="1" t="s">
        <v>33</v>
      </c>
      <c r="C24" s="1" t="n">
        <v>-78.3</v>
      </c>
      <c r="D24" s="6" t="n">
        <v>-296.9</v>
      </c>
      <c r="E24" s="1" t="n">
        <v>15</v>
      </c>
      <c r="F24" s="0" t="n">
        <f aca="false">E24+69</f>
        <v>84</v>
      </c>
      <c r="G24" s="2"/>
      <c r="H24" s="2" t="n">
        <v>23</v>
      </c>
      <c r="I24" s="2" t="n">
        <f aca="false">C24/248.3</f>
        <v>-0.315344341522352</v>
      </c>
      <c r="J24" s="2" t="n">
        <f aca="false">D24/315</f>
        <v>-0.942539682539683</v>
      </c>
      <c r="K24" s="0" t="n">
        <f aca="false">F24/366</f>
        <v>0.229508196721311</v>
      </c>
      <c r="L24" s="2"/>
      <c r="M24" s="5" t="n">
        <v>0</v>
      </c>
      <c r="N24" s="5" t="n">
        <f aca="false">(Q24/PI())*-180</f>
        <v>-15.3000468830348</v>
      </c>
      <c r="O24" s="5"/>
      <c r="P24" s="2" t="n">
        <f aca="false">SQRT(C24^2+D24^2)</f>
        <v>307.051298645682</v>
      </c>
      <c r="Q24" s="2" t="n">
        <f aca="false">ATAN(F24/P24)</f>
        <v>0.267036193818453</v>
      </c>
    </row>
    <row r="25" customFormat="false" ht="15.75" hidden="false" customHeight="true" outlineLevel="0" collapsed="false">
      <c r="B25" s="1" t="s">
        <v>34</v>
      </c>
      <c r="C25" s="1" t="n">
        <v>-45.7</v>
      </c>
      <c r="D25" s="6" t="n">
        <v>-296.9</v>
      </c>
      <c r="E25" s="1" t="n">
        <v>15</v>
      </c>
      <c r="F25" s="0" t="n">
        <f aca="false">E25+69</f>
        <v>84</v>
      </c>
      <c r="G25" s="2"/>
      <c r="H25" s="2" t="n">
        <v>24</v>
      </c>
      <c r="I25" s="2" t="n">
        <f aca="false">C25/248.3</f>
        <v>-0.184051550543697</v>
      </c>
      <c r="J25" s="2" t="n">
        <f aca="false">D25/315</f>
        <v>-0.942539682539683</v>
      </c>
      <c r="K25" s="0" t="n">
        <f aca="false">F25/366</f>
        <v>0.229508196721311</v>
      </c>
      <c r="L25" s="2"/>
      <c r="M25" s="5" t="n">
        <v>0</v>
      </c>
      <c r="N25" s="5" t="n">
        <f aca="false">(Q25/PI())*-180</f>
        <v>-15.6226052276219</v>
      </c>
      <c r="O25" s="5"/>
      <c r="P25" s="2" t="n">
        <f aca="false">SQRT(C25^2+D25^2)</f>
        <v>300.396571218781</v>
      </c>
      <c r="Q25" s="2" t="n">
        <f aca="false">ATAN(F25/P25)</f>
        <v>0.27266589896128</v>
      </c>
    </row>
    <row r="26" customFormat="false" ht="15.75" hidden="false" customHeight="true" outlineLevel="0" collapsed="false">
      <c r="B26" s="1" t="s">
        <v>35</v>
      </c>
      <c r="C26" s="1" t="n">
        <v>-15.1</v>
      </c>
      <c r="D26" s="6" t="n">
        <v>-296.9</v>
      </c>
      <c r="E26" s="1" t="n">
        <v>15</v>
      </c>
      <c r="F26" s="0" t="n">
        <f aca="false">E26+69</f>
        <v>84</v>
      </c>
      <c r="G26" s="2"/>
      <c r="H26" s="2" t="n">
        <v>25</v>
      </c>
      <c r="I26" s="2" t="n">
        <f aca="false">C26/248.3</f>
        <v>-0.0608135320177205</v>
      </c>
      <c r="J26" s="2" t="n">
        <f aca="false">D26/315</f>
        <v>-0.942539682539683</v>
      </c>
      <c r="K26" s="0" t="n">
        <f aca="false">F26/366</f>
        <v>0.229508196721311</v>
      </c>
      <c r="L26" s="2"/>
      <c r="M26" s="5" t="n">
        <v>0</v>
      </c>
      <c r="N26" s="5" t="n">
        <f aca="false">(Q26/PI())*-180</f>
        <v>-15.7780816571907</v>
      </c>
      <c r="O26" s="5"/>
      <c r="P26" s="2" t="n">
        <f aca="false">SQRT(C26^2+D26^2)</f>
        <v>297.283736521189</v>
      </c>
      <c r="Q26" s="2" t="n">
        <f aca="false">ATAN(F26/P26)</f>
        <v>0.2753794745665</v>
      </c>
    </row>
    <row r="27" customFormat="false" ht="15.75" hidden="false" customHeight="true" outlineLevel="0" collapsed="false">
      <c r="B27" s="1" t="s">
        <v>36</v>
      </c>
      <c r="C27" s="1" t="n">
        <v>16.5</v>
      </c>
      <c r="D27" s="6" t="n">
        <v>-296.9</v>
      </c>
      <c r="E27" s="1" t="n">
        <v>15</v>
      </c>
      <c r="F27" s="0" t="n">
        <f aca="false">E27+69</f>
        <v>84</v>
      </c>
      <c r="G27" s="2"/>
      <c r="H27" s="2" t="n">
        <v>26</v>
      </c>
      <c r="I27" s="2" t="n">
        <f aca="false">C27/248.3</f>
        <v>0.0664518727345952</v>
      </c>
      <c r="J27" s="2" t="n">
        <f aca="false">D27/315</f>
        <v>-0.942539682539683</v>
      </c>
      <c r="K27" s="0" t="n">
        <f aca="false">F27/366</f>
        <v>0.229508196721311</v>
      </c>
      <c r="L27" s="2"/>
      <c r="M27" s="5" t="n">
        <v>0</v>
      </c>
      <c r="N27" s="5" t="n">
        <f aca="false">(Q27/PI())*-180</f>
        <v>-15.7743305496609</v>
      </c>
      <c r="O27" s="5"/>
      <c r="P27" s="2" t="n">
        <f aca="false">SQRT(C27^2+D27^2)</f>
        <v>297.358134242196</v>
      </c>
      <c r="Q27" s="2" t="n">
        <f aca="false">ATAN(F27/P27)</f>
        <v>0.27531400538951</v>
      </c>
    </row>
    <row r="28" customFormat="false" ht="15.75" hidden="false" customHeight="true" outlineLevel="0" collapsed="false">
      <c r="B28" s="1" t="s">
        <v>37</v>
      </c>
      <c r="C28" s="1" t="n">
        <v>47.2</v>
      </c>
      <c r="D28" s="6" t="n">
        <v>-296.9</v>
      </c>
      <c r="E28" s="1" t="n">
        <v>15</v>
      </c>
      <c r="F28" s="0" t="n">
        <f aca="false">E28+69</f>
        <v>84</v>
      </c>
      <c r="G28" s="2"/>
      <c r="H28" s="2" t="n">
        <v>27</v>
      </c>
      <c r="I28" s="2" t="n">
        <f aca="false">C28/248.3</f>
        <v>0.190092629883206</v>
      </c>
      <c r="J28" s="2" t="n">
        <f aca="false">D28/315</f>
        <v>-0.942539682539683</v>
      </c>
      <c r="K28" s="0" t="n">
        <f aca="false">F28/366</f>
        <v>0.229508196721311</v>
      </c>
      <c r="L28" s="2"/>
      <c r="M28" s="5" t="n">
        <v>0</v>
      </c>
      <c r="N28" s="5" t="n">
        <f aca="false">(Q28/PI())*-180</f>
        <v>-15.6111443185471</v>
      </c>
      <c r="O28" s="5"/>
      <c r="P28" s="2" t="n">
        <f aca="false">SQRT(C28^2+D28^2)</f>
        <v>300.628425136413</v>
      </c>
      <c r="Q28" s="2" t="n">
        <f aca="false">ATAN(F28/P28)</f>
        <v>0.272465868362654</v>
      </c>
    </row>
    <row r="29" customFormat="false" ht="15.75" hidden="false" customHeight="true" outlineLevel="0" collapsed="false">
      <c r="B29" s="1" t="s">
        <v>38</v>
      </c>
      <c r="C29" s="1" t="n">
        <v>79.8</v>
      </c>
      <c r="D29" s="6" t="n">
        <v>-296.9</v>
      </c>
      <c r="E29" s="1" t="n">
        <v>15</v>
      </c>
      <c r="F29" s="0" t="n">
        <f aca="false">E29+69</f>
        <v>84</v>
      </c>
      <c r="G29" s="2"/>
      <c r="H29" s="2" t="n">
        <v>28</v>
      </c>
      <c r="I29" s="2" t="n">
        <f aca="false">C29/248.3</f>
        <v>0.321385420861861</v>
      </c>
      <c r="J29" s="2" t="n">
        <f aca="false">D29/315</f>
        <v>-0.942539682539683</v>
      </c>
      <c r="K29" s="0" t="n">
        <f aca="false">F29/366</f>
        <v>0.229508196721311</v>
      </c>
      <c r="L29" s="2"/>
      <c r="M29" s="5" t="n">
        <v>0</v>
      </c>
      <c r="N29" s="5" t="n">
        <f aca="false">(Q29/PI())*-180</f>
        <v>-15.2817390140512</v>
      </c>
      <c r="O29" s="5"/>
      <c r="P29" s="2" t="n">
        <f aca="false">SQRT(C29^2+D29^2)</f>
        <v>307.437229365606</v>
      </c>
      <c r="Q29" s="2" t="n">
        <f aca="false">ATAN(F29/P29)</f>
        <v>0.266716661225665</v>
      </c>
    </row>
    <row r="30" customFormat="false" ht="15.75" hidden="false" customHeight="true" outlineLevel="0" collapsed="false">
      <c r="B30" s="1" t="s">
        <v>39</v>
      </c>
      <c r="C30" s="1" t="n">
        <v>111.4</v>
      </c>
      <c r="D30" s="6" t="n">
        <v>-296.9</v>
      </c>
      <c r="E30" s="1" t="n">
        <v>15</v>
      </c>
      <c r="F30" s="0" t="n">
        <f aca="false">E30+69</f>
        <v>84</v>
      </c>
      <c r="G30" s="2"/>
      <c r="H30" s="2" t="n">
        <v>29</v>
      </c>
      <c r="I30" s="2" t="n">
        <f aca="false">C30/248.3</f>
        <v>0.448650825614176</v>
      </c>
      <c r="J30" s="2" t="n">
        <f aca="false">D30/315</f>
        <v>-0.942539682539683</v>
      </c>
      <c r="K30" s="0" t="n">
        <f aca="false">F30/366</f>
        <v>0.229508196721311</v>
      </c>
      <c r="L30" s="2"/>
      <c r="M30" s="5" t="n">
        <v>0</v>
      </c>
      <c r="N30" s="5" t="n">
        <f aca="false">(Q30/PI())*-180</f>
        <v>-14.8364038441926</v>
      </c>
      <c r="O30" s="5"/>
      <c r="P30" s="2" t="n">
        <f aca="false">SQRT(C30^2+D30^2)</f>
        <v>317.111289612969</v>
      </c>
      <c r="Q30" s="2" t="n">
        <f aca="false">ATAN(F30/P30)</f>
        <v>0.258944096236704</v>
      </c>
    </row>
    <row r="31" customFormat="false" ht="15.75" hidden="false" customHeight="true" outlineLevel="0" collapsed="false">
      <c r="B31" s="1" t="s">
        <v>40</v>
      </c>
      <c r="C31" s="1" t="n">
        <v>144</v>
      </c>
      <c r="D31" s="6" t="n">
        <v>-296.9</v>
      </c>
      <c r="E31" s="1" t="n">
        <v>15</v>
      </c>
      <c r="F31" s="0" t="n">
        <f aca="false">E31+69</f>
        <v>84</v>
      </c>
      <c r="G31" s="2"/>
      <c r="H31" s="2" t="n">
        <v>30</v>
      </c>
      <c r="I31" s="2" t="n">
        <f aca="false">C31/248.3</f>
        <v>0.579943616592831</v>
      </c>
      <c r="J31" s="2" t="n">
        <f aca="false">D31/315</f>
        <v>-0.942539682539683</v>
      </c>
      <c r="K31" s="0" t="n">
        <f aca="false">F31/366</f>
        <v>0.229508196721311</v>
      </c>
      <c r="L31" s="2"/>
      <c r="M31" s="5" t="n">
        <v>0</v>
      </c>
      <c r="N31" s="5" t="n">
        <f aca="false">(Q31/PI())*-180</f>
        <v>-14.2820007740414</v>
      </c>
      <c r="O31" s="5"/>
      <c r="P31" s="2" t="n">
        <f aca="false">SQRT(C31^2+D31^2)</f>
        <v>329.978196249389</v>
      </c>
      <c r="Q31" s="2" t="n">
        <f aca="false">ATAN(F31/P31)</f>
        <v>0.249267937279401</v>
      </c>
    </row>
    <row r="32" customFormat="false" ht="15.75" hidden="false" customHeight="true" outlineLevel="0" collapsed="false">
      <c r="B32" s="1" t="s">
        <v>41</v>
      </c>
      <c r="C32" s="1" t="n">
        <v>174.6</v>
      </c>
      <c r="D32" s="6" t="n">
        <v>-296.9</v>
      </c>
      <c r="E32" s="1" t="n">
        <v>15</v>
      </c>
      <c r="F32" s="0" t="n">
        <f aca="false">E32+69</f>
        <v>84</v>
      </c>
      <c r="G32" s="2"/>
      <c r="H32" s="2" t="n">
        <v>31</v>
      </c>
      <c r="I32" s="2" t="n">
        <f aca="false">C32/248.3</f>
        <v>0.703181635118808</v>
      </c>
      <c r="J32" s="2" t="n">
        <f aca="false">D32/315</f>
        <v>-0.942539682539683</v>
      </c>
      <c r="K32" s="0" t="n">
        <f aca="false">F32/366</f>
        <v>0.229508196721311</v>
      </c>
      <c r="L32" s="2"/>
      <c r="M32" s="5" t="n">
        <v>0</v>
      </c>
      <c r="N32" s="5" t="n">
        <f aca="false">(Q32/PI())*-180</f>
        <v>-13.7056595590557</v>
      </c>
      <c r="O32" s="5"/>
      <c r="P32" s="2" t="n">
        <f aca="false">SQRT(C32^2+D32^2)</f>
        <v>344.433984966641</v>
      </c>
      <c r="Q32" s="2" t="n">
        <f aca="false">ATAN(F32/P32)</f>
        <v>0.239208885462956</v>
      </c>
    </row>
    <row r="33" customFormat="false" ht="15.75" hidden="false" customHeight="true" outlineLevel="0" collapsed="false">
      <c r="B33" s="1" t="s">
        <v>42</v>
      </c>
      <c r="C33" s="1" t="n">
        <v>206.3</v>
      </c>
      <c r="D33" s="6" t="n">
        <v>-296.9</v>
      </c>
      <c r="E33" s="1" t="n">
        <v>15</v>
      </c>
      <c r="F33" s="0" t="n">
        <f aca="false">E33+69</f>
        <v>84</v>
      </c>
      <c r="G33" s="2"/>
      <c r="H33" s="2" t="n">
        <v>32</v>
      </c>
      <c r="I33" s="2" t="n">
        <f aca="false">C33/248.3</f>
        <v>0.830849778493758</v>
      </c>
      <c r="J33" s="2" t="n">
        <f aca="false">D33/315</f>
        <v>-0.942539682539683</v>
      </c>
      <c r="K33" s="0" t="n">
        <f aca="false">F33/366</f>
        <v>0.229508196721311</v>
      </c>
      <c r="L33" s="2"/>
      <c r="M33" s="5" t="n">
        <v>0</v>
      </c>
      <c r="N33" s="5" t="n">
        <f aca="false">(Q33/PI())*-180</f>
        <v>-13.0800951068236</v>
      </c>
      <c r="O33" s="5"/>
      <c r="P33" s="2" t="n">
        <f aca="false">SQRT(C33^2+D33^2)</f>
        <v>361.53741161877</v>
      </c>
      <c r="Q33" s="2" t="n">
        <f aca="false">ATAN(F33/P33)</f>
        <v>0.228290726088071</v>
      </c>
    </row>
    <row r="34" customFormat="false" ht="15.75" hidden="false" customHeight="true" outlineLevel="0" collapsed="false">
      <c r="A34" s="2" t="n">
        <v>248.3</v>
      </c>
      <c r="B34" s="1" t="s">
        <v>43</v>
      </c>
      <c r="C34" s="7" t="n">
        <v>248.3</v>
      </c>
      <c r="D34" s="6" t="n">
        <v>-267.9</v>
      </c>
      <c r="E34" s="1" t="n">
        <v>15</v>
      </c>
      <c r="F34" s="0" t="n">
        <f aca="false">E34+69</f>
        <v>84</v>
      </c>
      <c r="G34" s="2"/>
      <c r="H34" s="2" t="n">
        <v>33</v>
      </c>
      <c r="I34" s="2" t="n">
        <f aca="false">C34/248.3</f>
        <v>1</v>
      </c>
      <c r="J34" s="2" t="n">
        <f aca="false">D34/315</f>
        <v>-0.85047619047619</v>
      </c>
      <c r="K34" s="0" t="n">
        <f aca="false">F34/366</f>
        <v>0.229508196721311</v>
      </c>
      <c r="L34" s="2"/>
      <c r="M34" s="5" t="n">
        <v>270</v>
      </c>
      <c r="N34" s="5" t="n">
        <f aca="false">(Q34/PI())*-180</f>
        <v>-12.9509090114055</v>
      </c>
      <c r="O34" s="5"/>
      <c r="P34" s="2" t="n">
        <f aca="false">SQRT(C34^2+D34^2)</f>
        <v>365.271542828072</v>
      </c>
      <c r="Q34" s="2" t="n">
        <f aca="false">ATAN(F34/P34)</f>
        <v>0.22603600337523</v>
      </c>
    </row>
    <row r="35" customFormat="false" ht="15.75" hidden="false" customHeight="true" outlineLevel="0" collapsed="false">
      <c r="B35" s="1" t="s">
        <v>44</v>
      </c>
      <c r="C35" s="7" t="n">
        <v>248.3</v>
      </c>
      <c r="D35" s="1" t="n">
        <v>-235.3</v>
      </c>
      <c r="E35" s="1" t="n">
        <v>15</v>
      </c>
      <c r="F35" s="0" t="n">
        <f aca="false">E35+69</f>
        <v>84</v>
      </c>
      <c r="G35" s="2"/>
      <c r="H35" s="2" t="n">
        <v>34</v>
      </c>
      <c r="I35" s="2" t="n">
        <f aca="false">C35/248.3</f>
        <v>1</v>
      </c>
      <c r="J35" s="2" t="n">
        <f aca="false">D35/315</f>
        <v>-0.746984126984127</v>
      </c>
      <c r="K35" s="0" t="n">
        <f aca="false">F35/366</f>
        <v>0.229508196721311</v>
      </c>
      <c r="L35" s="2"/>
      <c r="M35" s="5" t="n">
        <v>270</v>
      </c>
      <c r="N35" s="5" t="n">
        <f aca="false">(Q35/PI())*-180</f>
        <v>-13.7963671415391</v>
      </c>
      <c r="O35" s="5"/>
      <c r="P35" s="2" t="n">
        <f aca="false">SQRT(C35^2+D35^2)</f>
        <v>342.080370673326</v>
      </c>
      <c r="Q35" s="2" t="n">
        <f aca="false">ATAN(F35/P35)</f>
        <v>0.240792031433816</v>
      </c>
    </row>
    <row r="36" customFormat="false" ht="15.75" hidden="false" customHeight="true" outlineLevel="0" collapsed="false">
      <c r="B36" s="1" t="s">
        <v>45</v>
      </c>
      <c r="C36" s="7" t="n">
        <v>248.3</v>
      </c>
      <c r="D36" s="1" t="n">
        <v>-204.7</v>
      </c>
      <c r="E36" s="1" t="n">
        <v>15</v>
      </c>
      <c r="F36" s="0" t="n">
        <f aca="false">E36+69</f>
        <v>84</v>
      </c>
      <c r="G36" s="2"/>
      <c r="H36" s="2" t="n">
        <v>35</v>
      </c>
      <c r="I36" s="2" t="n">
        <f aca="false">C36/248.3</f>
        <v>1</v>
      </c>
      <c r="J36" s="2" t="n">
        <f aca="false">D36/315</f>
        <v>-0.64984126984127</v>
      </c>
      <c r="K36" s="0" t="n">
        <f aca="false">F36/366</f>
        <v>0.229508196721311</v>
      </c>
      <c r="L36" s="2"/>
      <c r="M36" s="5" t="n">
        <v>270</v>
      </c>
      <c r="N36" s="5" t="n">
        <f aca="false">(Q36/PI())*-180</f>
        <v>-14.6295887776648</v>
      </c>
      <c r="O36" s="5"/>
      <c r="P36" s="2" t="n">
        <f aca="false">SQRT(C36^2+D36^2)</f>
        <v>321.799596022121</v>
      </c>
      <c r="Q36" s="2" t="n">
        <f aca="false">ATAN(F36/P36)</f>
        <v>0.255334492383064</v>
      </c>
    </row>
    <row r="37" customFormat="false" ht="15.75" hidden="false" customHeight="true" outlineLevel="0" collapsed="false">
      <c r="B37" s="1" t="s">
        <v>46</v>
      </c>
      <c r="C37" s="7" t="n">
        <v>248.3</v>
      </c>
      <c r="D37" s="1" t="n">
        <v>-173.1</v>
      </c>
      <c r="E37" s="1" t="n">
        <v>15</v>
      </c>
      <c r="F37" s="0" t="n">
        <f aca="false">E37+69</f>
        <v>84</v>
      </c>
      <c r="G37" s="2"/>
      <c r="H37" s="2" t="n">
        <v>36</v>
      </c>
      <c r="I37" s="2" t="n">
        <f aca="false">C37/248.3</f>
        <v>1</v>
      </c>
      <c r="J37" s="2" t="n">
        <f aca="false">D37/315</f>
        <v>-0.54952380952381</v>
      </c>
      <c r="K37" s="0" t="n">
        <f aca="false">F37/366</f>
        <v>0.229508196721311</v>
      </c>
      <c r="L37" s="2"/>
      <c r="M37" s="5" t="n">
        <v>270</v>
      </c>
      <c r="N37" s="5" t="n">
        <f aca="false">(Q37/PI())*-180</f>
        <v>-15.5103356424365</v>
      </c>
      <c r="O37" s="5"/>
      <c r="P37" s="2" t="n">
        <f aca="false">SQRT(C37^2+D37^2)</f>
        <v>302.682176548273</v>
      </c>
      <c r="Q37" s="2" t="n">
        <f aca="false">ATAN(F37/P37)</f>
        <v>0.270706425049947</v>
      </c>
    </row>
    <row r="38" customFormat="false" ht="15.75" hidden="false" customHeight="true" outlineLevel="0" collapsed="false">
      <c r="B38" s="1" t="s">
        <v>47</v>
      </c>
      <c r="C38" s="7" t="n">
        <v>248.3</v>
      </c>
      <c r="D38" s="1" t="n">
        <v>-140.5</v>
      </c>
      <c r="E38" s="1" t="n">
        <v>15</v>
      </c>
      <c r="F38" s="0" t="n">
        <f aca="false">E38+69</f>
        <v>84</v>
      </c>
      <c r="G38" s="2"/>
      <c r="H38" s="2" t="n">
        <v>37</v>
      </c>
      <c r="I38" s="2" t="n">
        <f aca="false">C38/248.3</f>
        <v>1</v>
      </c>
      <c r="J38" s="2" t="n">
        <f aca="false">D38/315</f>
        <v>-0.446031746031746</v>
      </c>
      <c r="K38" s="0" t="n">
        <f aca="false">F38/366</f>
        <v>0.229508196721311</v>
      </c>
      <c r="L38" s="2"/>
      <c r="M38" s="5" t="n">
        <v>270</v>
      </c>
      <c r="N38" s="5" t="n">
        <f aca="false">(Q38/PI())*-180</f>
        <v>-16.4061294373101</v>
      </c>
      <c r="O38" s="5"/>
      <c r="P38" s="2" t="n">
        <f aca="false">SQRT(C38^2+D38^2)</f>
        <v>285.294829956661</v>
      </c>
      <c r="Q38" s="2" t="n">
        <f aca="false">ATAN(F38/P38)</f>
        <v>0.286340976189426</v>
      </c>
    </row>
    <row r="39" customFormat="false" ht="15.75" hidden="false" customHeight="true" outlineLevel="0" collapsed="false">
      <c r="B39" s="1" t="s">
        <v>48</v>
      </c>
      <c r="C39" s="7" t="n">
        <v>248.3</v>
      </c>
      <c r="D39" s="1" t="n">
        <v>-109.9</v>
      </c>
      <c r="E39" s="1" t="n">
        <v>15</v>
      </c>
      <c r="F39" s="0" t="n">
        <f aca="false">E39+69</f>
        <v>84</v>
      </c>
      <c r="G39" s="2"/>
      <c r="H39" s="2" t="n">
        <v>38</v>
      </c>
      <c r="I39" s="2" t="n">
        <f aca="false">C39/248.3</f>
        <v>1</v>
      </c>
      <c r="J39" s="2" t="n">
        <f aca="false">D39/315</f>
        <v>-0.348888888888889</v>
      </c>
      <c r="K39" s="0" t="n">
        <f aca="false">F39/366</f>
        <v>0.229508196721311</v>
      </c>
      <c r="L39" s="2"/>
      <c r="M39" s="5" t="n">
        <v>270</v>
      </c>
      <c r="N39" s="5" t="n">
        <f aca="false">(Q39/PI())*-180</f>
        <v>-17.1896167066167</v>
      </c>
      <c r="O39" s="5"/>
      <c r="P39" s="2" t="n">
        <f aca="false">SQRT(C39^2+D39^2)</f>
        <v>271.534344052461</v>
      </c>
      <c r="Q39" s="2" t="n">
        <f aca="false">ATAN(F39/P39)</f>
        <v>0.300015408686286</v>
      </c>
    </row>
    <row r="40" customFormat="false" ht="15.75" hidden="false" customHeight="true" outlineLevel="0" collapsed="false">
      <c r="B40" s="1" t="s">
        <v>49</v>
      </c>
      <c r="C40" s="7" t="n">
        <v>248.3</v>
      </c>
      <c r="D40" s="1" t="n">
        <v>-78.2</v>
      </c>
      <c r="E40" s="1" t="n">
        <v>15</v>
      </c>
      <c r="F40" s="0" t="n">
        <f aca="false">E40+69</f>
        <v>84</v>
      </c>
      <c r="G40" s="2"/>
      <c r="H40" s="2" t="n">
        <v>39</v>
      </c>
      <c r="I40" s="2" t="n">
        <f aca="false">C40/248.3</f>
        <v>1</v>
      </c>
      <c r="J40" s="2" t="n">
        <f aca="false">D40/315</f>
        <v>-0.248253968253968</v>
      </c>
      <c r="K40" s="0" t="n">
        <f aca="false">F40/366</f>
        <v>0.229508196721311</v>
      </c>
      <c r="L40" s="2"/>
      <c r="M40" s="5" t="n">
        <v>270</v>
      </c>
      <c r="N40" s="5" t="n">
        <f aca="false">(Q40/PI())*-180</f>
        <v>-17.8836399625373</v>
      </c>
      <c r="O40" s="5"/>
      <c r="P40" s="2" t="n">
        <f aca="false">SQRT(C40^2+D40^2)</f>
        <v>260.323126133657</v>
      </c>
      <c r="Q40" s="2" t="n">
        <f aca="false">ATAN(F40/P40)</f>
        <v>0.31212839958751</v>
      </c>
    </row>
    <row r="41" customFormat="false" ht="15.75" hidden="false" customHeight="true" outlineLevel="0" collapsed="false">
      <c r="B41" s="1" t="s">
        <v>50</v>
      </c>
      <c r="C41" s="7" t="n">
        <v>248.3</v>
      </c>
      <c r="D41" s="1" t="n">
        <v>-45.6</v>
      </c>
      <c r="E41" s="1" t="n">
        <v>15</v>
      </c>
      <c r="F41" s="0" t="n">
        <f aca="false">E41+69</f>
        <v>84</v>
      </c>
      <c r="G41" s="2"/>
      <c r="H41" s="2" t="n">
        <v>40</v>
      </c>
      <c r="I41" s="2" t="n">
        <f aca="false">C41/248.3</f>
        <v>1</v>
      </c>
      <c r="J41" s="2" t="n">
        <f aca="false">D41/315</f>
        <v>-0.144761904761905</v>
      </c>
      <c r="K41" s="0" t="n">
        <f aca="false">F41/366</f>
        <v>0.229508196721311</v>
      </c>
      <c r="L41" s="2"/>
      <c r="M41" s="5" t="n">
        <v>270</v>
      </c>
      <c r="N41" s="5" t="n">
        <f aca="false">(Q41/PI())*-180</f>
        <v>-18.4041359212516</v>
      </c>
      <c r="O41" s="5"/>
      <c r="P41" s="2" t="n">
        <f aca="false">SQRT(C41^2+D41^2)</f>
        <v>252.452470774203</v>
      </c>
      <c r="Q41" s="2" t="n">
        <f aca="false">ATAN(F41/P41)</f>
        <v>0.321212767810399</v>
      </c>
    </row>
    <row r="42" customFormat="false" ht="15.75" hidden="false" customHeight="true" outlineLevel="0" collapsed="false">
      <c r="B42" s="1" t="s">
        <v>51</v>
      </c>
      <c r="C42" s="7" t="n">
        <v>248.3</v>
      </c>
      <c r="D42" s="1" t="n">
        <v>-15</v>
      </c>
      <c r="E42" s="1" t="n">
        <v>15</v>
      </c>
      <c r="F42" s="0" t="n">
        <f aca="false">E42+69</f>
        <v>84</v>
      </c>
      <c r="G42" s="2"/>
      <c r="H42" s="2" t="n">
        <v>41</v>
      </c>
      <c r="I42" s="2" t="n">
        <f aca="false">C42/248.3</f>
        <v>1</v>
      </c>
      <c r="J42" s="2" t="n">
        <f aca="false">D42/315</f>
        <v>-0.0476190476190476</v>
      </c>
      <c r="K42" s="0" t="n">
        <f aca="false">F42/366</f>
        <v>0.229508196721311</v>
      </c>
      <c r="L42" s="2"/>
      <c r="M42" s="5" t="n">
        <v>270</v>
      </c>
      <c r="N42" s="5" t="n">
        <f aca="false">(Q42/PI())*-180</f>
        <v>-18.6590447661759</v>
      </c>
      <c r="O42" s="5"/>
      <c r="P42" s="2" t="n">
        <f aca="false">SQRT(C42^2+D42^2)</f>
        <v>248.752668327397</v>
      </c>
      <c r="Q42" s="2" t="n">
        <f aca="false">ATAN(F42/P42)</f>
        <v>0.325661766446786</v>
      </c>
    </row>
    <row r="43" customFormat="false" ht="15.75" hidden="false" customHeight="true" outlineLevel="0" collapsed="false">
      <c r="B43" s="1" t="s">
        <v>52</v>
      </c>
      <c r="C43" s="7" t="n">
        <v>248.3</v>
      </c>
      <c r="D43" s="1" t="n">
        <v>16.6</v>
      </c>
      <c r="E43" s="1" t="n">
        <v>15</v>
      </c>
      <c r="F43" s="0" t="n">
        <f aca="false">E43+69</f>
        <v>84</v>
      </c>
      <c r="G43" s="2"/>
      <c r="H43" s="2" t="n">
        <v>42</v>
      </c>
      <c r="I43" s="2" t="n">
        <f aca="false">C43/248.3</f>
        <v>1</v>
      </c>
      <c r="J43" s="2" t="n">
        <f aca="false">D43/315</f>
        <v>0.0526984126984127</v>
      </c>
      <c r="K43" s="0" t="n">
        <f aca="false">F43/366</f>
        <v>0.229508196721311</v>
      </c>
      <c r="L43" s="2"/>
      <c r="M43" s="5" t="n">
        <v>270</v>
      </c>
      <c r="N43" s="5" t="n">
        <f aca="false">(Q43/PI())*-180</f>
        <v>-18.6519533894593</v>
      </c>
      <c r="O43" s="5"/>
      <c r="P43" s="2" t="n">
        <f aca="false">SQRT(C43^2+D43^2)</f>
        <v>248.854274626738</v>
      </c>
      <c r="Q43" s="2" t="n">
        <f aca="false">ATAN(F43/P43)</f>
        <v>0.32553799857458</v>
      </c>
    </row>
    <row r="44" customFormat="false" ht="15.75" hidden="false" customHeight="true" outlineLevel="0" collapsed="false">
      <c r="B44" s="1" t="s">
        <v>53</v>
      </c>
      <c r="C44" s="7" t="n">
        <v>248.3</v>
      </c>
      <c r="D44" s="1" t="n">
        <v>49.2</v>
      </c>
      <c r="E44" s="1" t="n">
        <v>15</v>
      </c>
      <c r="F44" s="0" t="n">
        <f aca="false">E44+69</f>
        <v>84</v>
      </c>
      <c r="G44" s="2"/>
      <c r="H44" s="2" t="n">
        <v>43</v>
      </c>
      <c r="I44" s="2" t="n">
        <f aca="false">C44/248.3</f>
        <v>1</v>
      </c>
      <c r="J44" s="2" t="n">
        <f aca="false">D44/315</f>
        <v>0.156190476190476</v>
      </c>
      <c r="K44" s="0" t="n">
        <f aca="false">F44/366</f>
        <v>0.229508196721311</v>
      </c>
      <c r="L44" s="2"/>
      <c r="M44" s="5" t="n">
        <v>270</v>
      </c>
      <c r="N44" s="5" t="n">
        <f aca="false">(Q44/PI())*-180</f>
        <v>-18.3583515360343</v>
      </c>
      <c r="O44" s="5"/>
      <c r="P44" s="2" t="n">
        <f aca="false">SQRT(C44^2+D44^2)</f>
        <v>253.127497518543</v>
      </c>
      <c r="Q44" s="2" t="n">
        <f aca="false">ATAN(F44/P44)</f>
        <v>0.320413679542357</v>
      </c>
    </row>
    <row r="45" customFormat="false" ht="15.75" hidden="false" customHeight="true" outlineLevel="0" collapsed="false">
      <c r="B45" s="1" t="s">
        <v>54</v>
      </c>
      <c r="C45" s="7" t="n">
        <v>248.3</v>
      </c>
      <c r="D45" s="1" t="n">
        <v>79.9</v>
      </c>
      <c r="E45" s="1" t="n">
        <v>15</v>
      </c>
      <c r="F45" s="0" t="n">
        <f aca="false">E45+69</f>
        <v>84</v>
      </c>
      <c r="G45" s="2"/>
      <c r="H45" s="2" t="n">
        <v>44</v>
      </c>
      <c r="I45" s="2" t="n">
        <f aca="false">C45/248.3</f>
        <v>1</v>
      </c>
      <c r="J45" s="2" t="n">
        <f aca="false">D45/315</f>
        <v>0.253650793650794</v>
      </c>
      <c r="K45" s="0" t="n">
        <f aca="false">F45/366</f>
        <v>0.229508196721311</v>
      </c>
      <c r="L45" s="2"/>
      <c r="M45" s="5" t="n">
        <v>270</v>
      </c>
      <c r="N45" s="5" t="n">
        <f aca="false">(Q45/PI())*-180</f>
        <v>-17.8505276323099</v>
      </c>
      <c r="O45" s="5"/>
      <c r="P45" s="2" t="n">
        <f aca="false">SQRT(C45^2+D45^2)</f>
        <v>260.838839132519</v>
      </c>
      <c r="Q45" s="2" t="n">
        <f aca="false">ATAN(F45/P45)</f>
        <v>0.311550480402035</v>
      </c>
    </row>
    <row r="46" customFormat="false" ht="15.75" hidden="false" customHeight="true" outlineLevel="0" collapsed="false">
      <c r="B46" s="1" t="s">
        <v>55</v>
      </c>
      <c r="C46" s="7" t="n">
        <v>248.3</v>
      </c>
      <c r="D46" s="1" t="n">
        <v>111.5</v>
      </c>
      <c r="E46" s="1" t="n">
        <v>15</v>
      </c>
      <c r="F46" s="0" t="n">
        <f aca="false">E46+69</f>
        <v>84</v>
      </c>
      <c r="G46" s="2"/>
      <c r="H46" s="2" t="n">
        <v>45</v>
      </c>
      <c r="I46" s="2" t="n">
        <f aca="false">C46/248.3</f>
        <v>1</v>
      </c>
      <c r="J46" s="2" t="n">
        <f aca="false">D46/315</f>
        <v>0.353968253968254</v>
      </c>
      <c r="K46" s="0" t="n">
        <f aca="false">F46/366</f>
        <v>0.229508196721311</v>
      </c>
      <c r="L46" s="2"/>
      <c r="M46" s="5" t="n">
        <v>270</v>
      </c>
      <c r="N46" s="5" t="n">
        <f aca="false">(Q46/PI())*-180</f>
        <v>-17.1508879941836</v>
      </c>
      <c r="O46" s="5"/>
      <c r="P46" s="2" t="n">
        <f aca="false">SQRT(C46^2+D46^2)</f>
        <v>272.18585562075</v>
      </c>
      <c r="Q46" s="2" t="n">
        <f aca="false">ATAN(F46/P46)</f>
        <v>0.299339465139271</v>
      </c>
    </row>
    <row r="47" customFormat="false" ht="15.75" hidden="false" customHeight="true" outlineLevel="0" collapsed="false">
      <c r="B47" s="1" t="s">
        <v>56</v>
      </c>
      <c r="C47" s="7" t="n">
        <v>248.3</v>
      </c>
      <c r="D47" s="1" t="n">
        <v>145.1</v>
      </c>
      <c r="E47" s="1" t="n">
        <v>15</v>
      </c>
      <c r="F47" s="0" t="n">
        <f aca="false">E47+69</f>
        <v>84</v>
      </c>
      <c r="G47" s="2"/>
      <c r="H47" s="2" t="n">
        <v>46</v>
      </c>
      <c r="I47" s="2" t="n">
        <f aca="false">C47/248.3</f>
        <v>1</v>
      </c>
      <c r="J47" s="2" t="n">
        <f aca="false">D47/315</f>
        <v>0.460634920634921</v>
      </c>
      <c r="K47" s="0" t="n">
        <f aca="false">F47/366</f>
        <v>0.229508196721311</v>
      </c>
      <c r="L47" s="2"/>
      <c r="M47" s="5" t="n">
        <v>270</v>
      </c>
      <c r="N47" s="5" t="n">
        <f aca="false">(Q47/PI())*-180</f>
        <v>-16.2822619907586</v>
      </c>
      <c r="O47" s="5"/>
      <c r="P47" s="2" t="n">
        <f aca="false">SQRT(C47^2+D47^2)</f>
        <v>287.588073466199</v>
      </c>
      <c r="Q47" s="2" t="n">
        <f aca="false">ATAN(F47/P47)</f>
        <v>0.284179081411064</v>
      </c>
    </row>
    <row r="48" customFormat="false" ht="15.75" hidden="false" customHeight="true" outlineLevel="0" collapsed="false">
      <c r="B48" s="1" t="s">
        <v>57</v>
      </c>
      <c r="C48" s="7" t="n">
        <v>248.3</v>
      </c>
      <c r="D48" s="1" t="n">
        <v>174.7</v>
      </c>
      <c r="E48" s="1" t="n">
        <v>15</v>
      </c>
      <c r="F48" s="0" t="n">
        <f aca="false">E48+69</f>
        <v>84</v>
      </c>
      <c r="G48" s="2"/>
      <c r="H48" s="2" t="n">
        <v>47</v>
      </c>
      <c r="I48" s="2" t="n">
        <f aca="false">C48/248.3</f>
        <v>1</v>
      </c>
      <c r="J48" s="2" t="n">
        <f aca="false">D48/315</f>
        <v>0.554603174603175</v>
      </c>
      <c r="K48" s="0" t="n">
        <f aca="false">F48/366</f>
        <v>0.229508196721311</v>
      </c>
      <c r="L48" s="2"/>
      <c r="M48" s="5" t="n">
        <v>270</v>
      </c>
      <c r="N48" s="5" t="n">
        <f aca="false">(Q48/PI())*-180</f>
        <v>-15.4656920259525</v>
      </c>
      <c r="O48" s="5"/>
      <c r="P48" s="2" t="n">
        <f aca="false">SQRT(C48^2+D48^2)</f>
        <v>303.600032938075</v>
      </c>
      <c r="Q48" s="2" t="n">
        <f aca="false">ATAN(F48/P48)</f>
        <v>0.269927246952303</v>
      </c>
    </row>
    <row r="49" customFormat="false" ht="15.75" hidden="false" customHeight="true" outlineLevel="0" collapsed="false">
      <c r="B49" s="1" t="s">
        <v>58</v>
      </c>
      <c r="C49" s="7" t="n">
        <v>248.3</v>
      </c>
      <c r="D49" s="1" t="n">
        <v>206.3</v>
      </c>
      <c r="E49" s="1" t="n">
        <v>15</v>
      </c>
      <c r="F49" s="0" t="n">
        <f aca="false">E49+69</f>
        <v>84</v>
      </c>
      <c r="G49" s="2"/>
      <c r="H49" s="2" t="n">
        <v>48</v>
      </c>
      <c r="I49" s="2" t="n">
        <f aca="false">C49/248.3</f>
        <v>1</v>
      </c>
      <c r="J49" s="2" t="n">
        <f aca="false">D49/315</f>
        <v>0.654920634920635</v>
      </c>
      <c r="K49" s="0" t="n">
        <f aca="false">F49/366</f>
        <v>0.229508196721311</v>
      </c>
      <c r="L49" s="2"/>
      <c r="M49" s="5" t="n">
        <v>270</v>
      </c>
      <c r="N49" s="5" t="n">
        <f aca="false">(Q49/PI())*-180</f>
        <v>-14.5853324830505</v>
      </c>
      <c r="O49" s="5"/>
      <c r="P49" s="2" t="n">
        <f aca="false">SQRT(C49^2+D49^2)</f>
        <v>322.81973297802</v>
      </c>
      <c r="Q49" s="2" t="n">
        <f aca="false">ATAN(F49/P49)</f>
        <v>0.254562074327311</v>
      </c>
    </row>
    <row r="50" customFormat="false" ht="15.75" hidden="false" customHeight="true" outlineLevel="0" collapsed="false">
      <c r="B50" s="1" t="s">
        <v>59</v>
      </c>
      <c r="C50" s="7" t="n">
        <v>248.3</v>
      </c>
      <c r="D50" s="1" t="n">
        <v>239</v>
      </c>
      <c r="E50" s="1" t="n">
        <v>15</v>
      </c>
      <c r="F50" s="0" t="n">
        <f aca="false">E50+69</f>
        <v>84</v>
      </c>
      <c r="G50" s="2"/>
      <c r="H50" s="2" t="n">
        <v>49</v>
      </c>
      <c r="I50" s="2" t="n">
        <f aca="false">C50/248.3</f>
        <v>1</v>
      </c>
      <c r="J50" s="2" t="n">
        <f aca="false">D50/315</f>
        <v>0.758730158730159</v>
      </c>
      <c r="K50" s="0" t="n">
        <f aca="false">F50/366</f>
        <v>0.229508196721311</v>
      </c>
      <c r="L50" s="2"/>
      <c r="M50" s="5" t="n">
        <v>270</v>
      </c>
      <c r="N50" s="5" t="n">
        <f aca="false">(Q50/PI())*-180</f>
        <v>-13.6979330266688</v>
      </c>
      <c r="O50" s="5"/>
      <c r="P50" s="2" t="n">
        <f aca="false">SQRT(C50^2+D50^2)</f>
        <v>344.635880314282</v>
      </c>
      <c r="Q50" s="2" t="n">
        <f aca="false">ATAN(F50/P50)</f>
        <v>0.239074032033043</v>
      </c>
    </row>
    <row r="51" customFormat="false" ht="15.75" hidden="false" customHeight="true" outlineLevel="0" collapsed="false">
      <c r="B51" s="1" t="s">
        <v>60</v>
      </c>
      <c r="C51" s="7" t="n">
        <v>248.3</v>
      </c>
      <c r="D51" s="1" t="n">
        <v>269.6</v>
      </c>
      <c r="E51" s="1" t="n">
        <v>15</v>
      </c>
      <c r="F51" s="0" t="n">
        <f aca="false">E51+69</f>
        <v>84</v>
      </c>
      <c r="G51" s="2"/>
      <c r="H51" s="2" t="n">
        <v>50</v>
      </c>
      <c r="I51" s="2" t="n">
        <f aca="false">C51/248.3</f>
        <v>1</v>
      </c>
      <c r="J51" s="2" t="n">
        <f aca="false">D51/315</f>
        <v>0.855873015873016</v>
      </c>
      <c r="K51" s="0" t="n">
        <f aca="false">F51/366</f>
        <v>0.229508196721311</v>
      </c>
      <c r="L51" s="2"/>
      <c r="M51" s="5" t="n">
        <v>270</v>
      </c>
      <c r="N51" s="5" t="n">
        <f aca="false">(Q51/PI())*-180</f>
        <v>-12.9082685740285</v>
      </c>
      <c r="O51" s="5"/>
      <c r="P51" s="2" t="n">
        <f aca="false">SQRT(C51^2+D51^2)</f>
        <v>366.520190439763</v>
      </c>
      <c r="Q51" s="2" t="n">
        <f aca="false">ATAN(F51/P51)</f>
        <v>0.225291787348511</v>
      </c>
    </row>
    <row r="52" customFormat="false" ht="15.75" hidden="false" customHeight="true" outlineLevel="0" collapsed="false">
      <c r="B52" s="1" t="s">
        <v>61</v>
      </c>
      <c r="C52" s="1" t="n">
        <v>205.4</v>
      </c>
      <c r="D52" s="6" t="n">
        <v>296.2</v>
      </c>
      <c r="E52" s="1" t="n">
        <v>15</v>
      </c>
      <c r="F52" s="0" t="n">
        <f aca="false">E52+69</f>
        <v>84</v>
      </c>
      <c r="G52" s="2"/>
      <c r="H52" s="2" t="n">
        <v>51</v>
      </c>
      <c r="I52" s="2" t="n">
        <f aca="false">C52/248.3</f>
        <v>0.827225130890052</v>
      </c>
      <c r="J52" s="2" t="n">
        <f aca="false">D52/315</f>
        <v>0.94031746031746</v>
      </c>
      <c r="K52" s="0" t="n">
        <f aca="false">F52/366</f>
        <v>0.229508196721311</v>
      </c>
      <c r="L52" s="2"/>
      <c r="M52" s="5" t="n">
        <v>270</v>
      </c>
      <c r="N52" s="5" t="n">
        <f aca="false">(Q52/PI())*-180</f>
        <v>-13.1182220259348</v>
      </c>
      <c r="O52" s="5"/>
      <c r="P52" s="2" t="n">
        <f aca="false">SQRT(C52^2+D52^2)</f>
        <v>360.449164238177</v>
      </c>
      <c r="Q52" s="2" t="n">
        <f aca="false">ATAN(F52/P52)</f>
        <v>0.228956166360204</v>
      </c>
    </row>
    <row r="53" customFormat="false" ht="15.75" hidden="false" customHeight="true" outlineLevel="0" collapsed="false">
      <c r="B53" s="1" t="s">
        <v>62</v>
      </c>
      <c r="C53" s="1" t="n">
        <v>173.8</v>
      </c>
      <c r="D53" s="6" t="n">
        <v>296.2</v>
      </c>
      <c r="E53" s="1" t="n">
        <v>15</v>
      </c>
      <c r="F53" s="0" t="n">
        <f aca="false">E53+69</f>
        <v>84</v>
      </c>
      <c r="G53" s="2"/>
      <c r="H53" s="2" t="n">
        <v>52</v>
      </c>
      <c r="I53" s="2" t="n">
        <f aca="false">C53/248.3</f>
        <v>0.699959726137737</v>
      </c>
      <c r="J53" s="2" t="n">
        <f aca="false">D53/315</f>
        <v>0.94031746031746</v>
      </c>
      <c r="K53" s="0" t="n">
        <f aca="false">F53/366</f>
        <v>0.229508196721311</v>
      </c>
      <c r="L53" s="2"/>
      <c r="M53" s="5" t="n">
        <v>180</v>
      </c>
      <c r="N53" s="5" t="n">
        <f aca="false">(Q53/PI())*-180</f>
        <v>-13.7443935055767</v>
      </c>
      <c r="O53" s="5"/>
      <c r="P53" s="2" t="n">
        <f aca="false">SQRT(C53^2+D53^2)</f>
        <v>343.425217478274</v>
      </c>
      <c r="Q53" s="2" t="n">
        <f aca="false">ATAN(F53/P53)</f>
        <v>0.239884920362039</v>
      </c>
    </row>
    <row r="54" customFormat="false" ht="15.75" hidden="false" customHeight="true" outlineLevel="0" collapsed="false">
      <c r="B54" s="1" t="s">
        <v>63</v>
      </c>
      <c r="C54" s="1" t="n">
        <v>141.2</v>
      </c>
      <c r="D54" s="6" t="n">
        <v>296.2</v>
      </c>
      <c r="E54" s="1" t="n">
        <v>15</v>
      </c>
      <c r="F54" s="0" t="n">
        <f aca="false">E54+69</f>
        <v>84</v>
      </c>
      <c r="G54" s="2"/>
      <c r="H54" s="2" t="n">
        <v>53</v>
      </c>
      <c r="I54" s="2" t="n">
        <f aca="false">C54/248.3</f>
        <v>0.568666935159082</v>
      </c>
      <c r="J54" s="2" t="n">
        <f aca="false">D54/315</f>
        <v>0.94031746031746</v>
      </c>
      <c r="K54" s="0" t="n">
        <f aca="false">F54/366</f>
        <v>0.229508196721311</v>
      </c>
      <c r="L54" s="2"/>
      <c r="M54" s="5" t="n">
        <v>180</v>
      </c>
      <c r="N54" s="5" t="n">
        <f aca="false">(Q54/PI())*-180</f>
        <v>-14.3589616657275</v>
      </c>
      <c r="O54" s="5"/>
      <c r="P54" s="2" t="n">
        <f aca="false">SQRT(C54^2+D54^2)</f>
        <v>328.133936068795</v>
      </c>
      <c r="Q54" s="2" t="n">
        <f aca="false">ATAN(F54/P54)</f>
        <v>0.250611158234594</v>
      </c>
    </row>
    <row r="55" customFormat="false" ht="15.75" hidden="false" customHeight="true" outlineLevel="0" collapsed="false">
      <c r="B55" s="1" t="s">
        <v>64</v>
      </c>
      <c r="C55" s="1" t="n">
        <v>110.5</v>
      </c>
      <c r="D55" s="6" t="n">
        <v>296.2</v>
      </c>
      <c r="E55" s="1" t="n">
        <v>15</v>
      </c>
      <c r="F55" s="0" t="n">
        <f aca="false">E55+69</f>
        <v>84</v>
      </c>
      <c r="G55" s="2"/>
      <c r="H55" s="2" t="n">
        <v>54</v>
      </c>
      <c r="I55" s="2" t="n">
        <f aca="false">C55/248.3</f>
        <v>0.445026178010471</v>
      </c>
      <c r="J55" s="2" t="n">
        <f aca="false">D55/315</f>
        <v>0.94031746031746</v>
      </c>
      <c r="K55" s="0" t="n">
        <f aca="false">F55/366</f>
        <v>0.229508196721311</v>
      </c>
      <c r="L55" s="2"/>
      <c r="M55" s="5" t="n">
        <v>180</v>
      </c>
      <c r="N55" s="5" t="n">
        <f aca="false">(Q55/PI())*-180</f>
        <v>-14.8799535468049</v>
      </c>
      <c r="O55" s="5"/>
      <c r="P55" s="2" t="n">
        <f aca="false">SQRT(C55^2+D55^2)</f>
        <v>316.140301132266</v>
      </c>
      <c r="Q55" s="2" t="n">
        <f aca="false">ATAN(F55/P55)</f>
        <v>0.259704181935554</v>
      </c>
    </row>
    <row r="56" customFormat="false" ht="15.75" hidden="false" customHeight="true" outlineLevel="0" collapsed="false">
      <c r="B56" s="1" t="s">
        <v>65</v>
      </c>
      <c r="C56" s="1" t="n">
        <v>78.9</v>
      </c>
      <c r="D56" s="6" t="n">
        <v>296.2</v>
      </c>
      <c r="E56" s="1" t="n">
        <v>15</v>
      </c>
      <c r="F56" s="0" t="n">
        <f aca="false">E56+69</f>
        <v>84</v>
      </c>
      <c r="G56" s="2"/>
      <c r="H56" s="2" t="n">
        <v>55</v>
      </c>
      <c r="I56" s="2" t="n">
        <f aca="false">C56/248.3</f>
        <v>0.317760773258155</v>
      </c>
      <c r="J56" s="2" t="n">
        <f aca="false">D56/315</f>
        <v>0.94031746031746</v>
      </c>
      <c r="K56" s="0" t="n">
        <f aca="false">F56/366</f>
        <v>0.229508196721311</v>
      </c>
      <c r="L56" s="2"/>
      <c r="M56" s="5" t="n">
        <v>180</v>
      </c>
      <c r="N56" s="5" t="n">
        <f aca="false">(Q56/PI())*-180</f>
        <v>-15.3249214611684</v>
      </c>
      <c r="O56" s="5"/>
      <c r="P56" s="2" t="n">
        <f aca="false">SQRT(C56^2+D56^2)</f>
        <v>306.528383677597</v>
      </c>
      <c r="Q56" s="2" t="n">
        <f aca="false">ATAN(F56/P56)</f>
        <v>0.267470337106929</v>
      </c>
    </row>
    <row r="57" customFormat="false" ht="15.75" hidden="false" customHeight="true" outlineLevel="0" collapsed="false">
      <c r="B57" s="1" t="s">
        <v>66</v>
      </c>
      <c r="C57" s="1" t="n">
        <v>46.3</v>
      </c>
      <c r="D57" s="6" t="n">
        <v>296.2</v>
      </c>
      <c r="E57" s="1" t="n">
        <v>15</v>
      </c>
      <c r="F57" s="0" t="n">
        <f aca="false">E57+69</f>
        <v>84</v>
      </c>
      <c r="G57" s="2"/>
      <c r="H57" s="2" t="n">
        <v>56</v>
      </c>
      <c r="I57" s="2" t="n">
        <f aca="false">C57/248.3</f>
        <v>0.186467982279501</v>
      </c>
      <c r="J57" s="2" t="n">
        <f aca="false">D57/315</f>
        <v>0.94031746031746</v>
      </c>
      <c r="K57" s="0" t="n">
        <f aca="false">F57/366</f>
        <v>0.229508196721311</v>
      </c>
      <c r="L57" s="2"/>
      <c r="M57" s="5" t="n">
        <v>180</v>
      </c>
      <c r="N57" s="5" t="n">
        <f aca="false">(Q57/PI())*-180</f>
        <v>-15.652328418466</v>
      </c>
      <c r="O57" s="5"/>
      <c r="P57" s="2" t="n">
        <f aca="false">SQRT(C57^2+D57^2)</f>
        <v>299.796814526105</v>
      </c>
      <c r="Q57" s="2" t="n">
        <f aca="false">ATAN(F57/P57)</f>
        <v>0.273184666505708</v>
      </c>
    </row>
    <row r="58" customFormat="false" ht="15.75" hidden="false" customHeight="true" outlineLevel="0" collapsed="false">
      <c r="B58" s="1" t="s">
        <v>67</v>
      </c>
      <c r="C58" s="1" t="n">
        <v>15.7</v>
      </c>
      <c r="D58" s="6" t="n">
        <v>296.2</v>
      </c>
      <c r="E58" s="1" t="n">
        <v>15</v>
      </c>
      <c r="F58" s="0" t="n">
        <f aca="false">E58+69</f>
        <v>84</v>
      </c>
      <c r="G58" s="2"/>
      <c r="H58" s="2" t="n">
        <v>57</v>
      </c>
      <c r="I58" s="2" t="n">
        <f aca="false">C58/248.3</f>
        <v>0.063229963753524</v>
      </c>
      <c r="J58" s="2" t="n">
        <f aca="false">D58/315</f>
        <v>0.94031746031746</v>
      </c>
      <c r="K58" s="0" t="n">
        <f aca="false">F58/366</f>
        <v>0.229508196721311</v>
      </c>
      <c r="L58" s="2"/>
      <c r="M58" s="5" t="n">
        <v>180</v>
      </c>
      <c r="N58" s="5" t="n">
        <f aca="false">(Q58/PI())*-180</f>
        <v>-15.8118370615692</v>
      </c>
      <c r="O58" s="5"/>
      <c r="P58" s="2" t="n">
        <f aca="false">SQRT(C58^2+D58^2)</f>
        <v>296.61579526384</v>
      </c>
      <c r="Q58" s="2" t="n">
        <f aca="false">ATAN(F58/P58)</f>
        <v>0.275968617513247</v>
      </c>
    </row>
    <row r="59" customFormat="false" ht="15.75" hidden="false" customHeight="false" outlineLevel="0" collapsed="false">
      <c r="B59" s="1" t="s">
        <v>68</v>
      </c>
      <c r="C59" s="1" t="n">
        <v>-15.9</v>
      </c>
      <c r="D59" s="6" t="n">
        <v>296.2</v>
      </c>
      <c r="E59" s="1" t="n">
        <v>15</v>
      </c>
      <c r="F59" s="0" t="n">
        <f aca="false">E59+69</f>
        <v>84</v>
      </c>
      <c r="G59" s="2"/>
      <c r="H59" s="2" t="n">
        <v>58</v>
      </c>
      <c r="I59" s="2" t="n">
        <f aca="false">C59/248.3</f>
        <v>-0.0640354409987918</v>
      </c>
      <c r="J59" s="2" t="n">
        <f aca="false">D59/315</f>
        <v>0.94031746031746</v>
      </c>
      <c r="K59" s="0" t="n">
        <f aca="false">F59/366</f>
        <v>0.229508196721311</v>
      </c>
      <c r="L59" s="2"/>
      <c r="M59" s="5" t="n">
        <v>180</v>
      </c>
      <c r="N59" s="5" t="n">
        <f aca="false">(Q59/PI())*-180</f>
        <v>-15.8112975756806</v>
      </c>
      <c r="O59" s="5"/>
      <c r="P59" s="2" t="n">
        <f aca="false">SQRT(C59^2+D59^2)</f>
        <v>296.626448584748</v>
      </c>
      <c r="Q59" s="2" t="n">
        <f aca="false">ATAN(F59/P59)</f>
        <v>0.275959201708224</v>
      </c>
    </row>
    <row r="60" customFormat="false" ht="15.75" hidden="false" customHeight="false" outlineLevel="0" collapsed="false">
      <c r="B60" s="1" t="s">
        <v>69</v>
      </c>
      <c r="C60" s="1" t="n">
        <v>-48.6</v>
      </c>
      <c r="D60" s="6" t="n">
        <v>296.2</v>
      </c>
      <c r="E60" s="1" t="n">
        <v>15</v>
      </c>
      <c r="F60" s="0" t="n">
        <f aca="false">E60+69</f>
        <v>84</v>
      </c>
      <c r="G60" s="2"/>
      <c r="H60" s="2" t="n">
        <v>59</v>
      </c>
      <c r="I60" s="2" t="n">
        <f aca="false">C60/248.3</f>
        <v>-0.195730970600081</v>
      </c>
      <c r="J60" s="2" t="n">
        <f aca="false">D60/315</f>
        <v>0.94031746031746</v>
      </c>
      <c r="K60" s="0" t="n">
        <f aca="false">F60/366</f>
        <v>0.229508196721311</v>
      </c>
      <c r="L60" s="2"/>
      <c r="M60" s="5" t="n">
        <v>180</v>
      </c>
      <c r="N60" s="5" t="n">
        <f aca="false">(Q60/PI())*-180</f>
        <v>-15.6342853495947</v>
      </c>
      <c r="O60" s="5"/>
      <c r="P60" s="2" t="n">
        <f aca="false">SQRT(C60^2+D60^2)</f>
        <v>300.160623666729</v>
      </c>
      <c r="Q60" s="2" t="n">
        <f aca="false">ATAN(F60/P60)</f>
        <v>0.27286975554674</v>
      </c>
    </row>
    <row r="61" customFormat="false" ht="15.75" hidden="false" customHeight="false" outlineLevel="0" collapsed="false">
      <c r="B61" s="1" t="s">
        <v>70</v>
      </c>
      <c r="C61" s="1" t="n">
        <v>-79.2</v>
      </c>
      <c r="D61" s="6" t="n">
        <v>296.2</v>
      </c>
      <c r="E61" s="1" t="n">
        <v>15</v>
      </c>
      <c r="F61" s="0" t="n">
        <f aca="false">E61+69</f>
        <v>84</v>
      </c>
      <c r="G61" s="2"/>
      <c r="H61" s="2" t="n">
        <v>60</v>
      </c>
      <c r="I61" s="2" t="n">
        <f aca="false">C61/248.3</f>
        <v>-0.318968989126057</v>
      </c>
      <c r="J61" s="2" t="n">
        <f aca="false">D61/315</f>
        <v>0.94031746031746</v>
      </c>
      <c r="K61" s="0" t="n">
        <f aca="false">F61/366</f>
        <v>0.229508196721311</v>
      </c>
      <c r="L61" s="2"/>
      <c r="M61" s="5" t="n">
        <v>180</v>
      </c>
      <c r="N61" s="5" t="n">
        <f aca="false">(Q61/PI())*-180</f>
        <v>-15.321236703259</v>
      </c>
      <c r="O61" s="5"/>
      <c r="P61" s="2" t="n">
        <f aca="false">SQRT(C61^2+D61^2)</f>
        <v>306.605740324606</v>
      </c>
      <c r="Q61" s="2" t="n">
        <f aca="false">ATAN(F61/P61)</f>
        <v>0.267406025949271</v>
      </c>
    </row>
    <row r="62" customFormat="false" ht="15.75" hidden="false" customHeight="false" outlineLevel="0" collapsed="false">
      <c r="B62" s="1" t="s">
        <v>71</v>
      </c>
      <c r="C62" s="1" t="n">
        <v>-110.8</v>
      </c>
      <c r="D62" s="6" t="n">
        <v>296.2</v>
      </c>
      <c r="E62" s="1" t="n">
        <v>15</v>
      </c>
      <c r="F62" s="0" t="n">
        <f aca="false">E62+69</f>
        <v>84</v>
      </c>
      <c r="G62" s="2"/>
      <c r="H62" s="2" t="n">
        <v>61</v>
      </c>
      <c r="I62" s="2" t="n">
        <f aca="false">C62/248.3</f>
        <v>-0.446234393878373</v>
      </c>
      <c r="J62" s="2" t="n">
        <f aca="false">D62/315</f>
        <v>0.94031746031746</v>
      </c>
      <c r="K62" s="0" t="n">
        <f aca="false">F62/366</f>
        <v>0.229508196721311</v>
      </c>
      <c r="L62" s="2"/>
      <c r="M62" s="5" t="n">
        <v>180</v>
      </c>
      <c r="N62" s="5" t="n">
        <f aca="false">(Q62/PI())*-180</f>
        <v>-14.8752329016424</v>
      </c>
      <c r="O62" s="5"/>
      <c r="P62" s="2" t="n">
        <f aca="false">SQRT(C62^2+D62^2)</f>
        <v>316.245284549825</v>
      </c>
      <c r="Q62" s="2" t="n">
        <f aca="false">ATAN(F62/P62)</f>
        <v>0.25962179113465</v>
      </c>
    </row>
    <row r="63" customFormat="false" ht="15.75" hidden="false" customHeight="false" outlineLevel="0" collapsed="false">
      <c r="B63" s="1" t="s">
        <v>72</v>
      </c>
      <c r="C63" s="1" t="n">
        <v>-143.4</v>
      </c>
      <c r="D63" s="6" t="n">
        <v>296.2</v>
      </c>
      <c r="E63" s="1" t="n">
        <v>15</v>
      </c>
      <c r="F63" s="0" t="n">
        <f aca="false">E63+69</f>
        <v>84</v>
      </c>
      <c r="G63" s="2"/>
      <c r="H63" s="2" t="n">
        <v>62</v>
      </c>
      <c r="I63" s="2" t="n">
        <f aca="false">C63/248.3</f>
        <v>-0.577527184857028</v>
      </c>
      <c r="J63" s="2" t="n">
        <f aca="false">D63/315</f>
        <v>0.94031746031746</v>
      </c>
      <c r="K63" s="0" t="n">
        <f aca="false">F63/366</f>
        <v>0.229508196721311</v>
      </c>
      <c r="L63" s="2"/>
      <c r="M63" s="5" t="n">
        <v>180</v>
      </c>
      <c r="N63" s="5" t="n">
        <f aca="false">(Q63/PI())*-180</f>
        <v>-14.3191053104563</v>
      </c>
      <c r="O63" s="5"/>
      <c r="P63" s="2" t="n">
        <f aca="false">SQRT(C63^2+D63^2)</f>
        <v>329.08661473843</v>
      </c>
      <c r="Q63" s="2" t="n">
        <f aca="false">ATAN(F63/P63)</f>
        <v>0.249915533607268</v>
      </c>
    </row>
    <row r="64" customFormat="false" ht="15.75" hidden="false" customHeight="false" outlineLevel="0" collapsed="false">
      <c r="B64" s="1" t="s">
        <v>73</v>
      </c>
      <c r="C64" s="1" t="n">
        <v>-174</v>
      </c>
      <c r="D64" s="6" t="n">
        <v>296.2</v>
      </c>
      <c r="E64" s="1" t="n">
        <v>15</v>
      </c>
      <c r="F64" s="0" t="n">
        <f aca="false">E64+69</f>
        <v>84</v>
      </c>
      <c r="G64" s="2"/>
      <c r="H64" s="2" t="n">
        <v>63</v>
      </c>
      <c r="I64" s="2" t="n">
        <f aca="false">C64/248.3</f>
        <v>-0.700765203383004</v>
      </c>
      <c r="J64" s="2" t="n">
        <f aca="false">D64/315</f>
        <v>0.94031746031746</v>
      </c>
      <c r="K64" s="0" t="n">
        <f aca="false">F64/366</f>
        <v>0.229508196721311</v>
      </c>
      <c r="L64" s="2"/>
      <c r="M64" s="5" t="n">
        <v>180</v>
      </c>
      <c r="N64" s="5" t="n">
        <f aca="false">(Q64/PI())*-180</f>
        <v>-13.7404957436151</v>
      </c>
      <c r="O64" s="5"/>
      <c r="P64" s="2" t="n">
        <f aca="false">SQRT(C64^2+D64^2)</f>
        <v>343.526476417757</v>
      </c>
      <c r="Q64" s="2" t="n">
        <f aca="false">ATAN(F64/P64)</f>
        <v>0.23981689158235</v>
      </c>
    </row>
    <row r="65" customFormat="false" ht="15.75" hidden="false" customHeight="false" outlineLevel="0" collapsed="false">
      <c r="B65" s="1" t="s">
        <v>74</v>
      </c>
      <c r="C65" s="1" t="n">
        <v>-205.7</v>
      </c>
      <c r="D65" s="6" t="n">
        <v>296.2</v>
      </c>
      <c r="E65" s="1" t="n">
        <v>15</v>
      </c>
      <c r="F65" s="0" t="n">
        <f aca="false">E65+69</f>
        <v>84</v>
      </c>
      <c r="G65" s="2"/>
      <c r="H65" s="2" t="n">
        <v>64</v>
      </c>
      <c r="I65" s="2" t="n">
        <f aca="false">C65/248.3</f>
        <v>-0.828433346757954</v>
      </c>
      <c r="J65" s="2" t="n">
        <f aca="false">D65/315</f>
        <v>0.94031746031746</v>
      </c>
      <c r="K65" s="0" t="n">
        <f aca="false">F65/366</f>
        <v>0.229508196721311</v>
      </c>
      <c r="L65" s="2"/>
      <c r="M65" s="5" t="n">
        <v>180</v>
      </c>
      <c r="N65" s="5" t="n">
        <f aca="false">(Q65/PI())*-180</f>
        <v>-13.1122152381287</v>
      </c>
      <c r="O65" s="5"/>
      <c r="P65" s="2" t="n">
        <f aca="false">SQRT(C65^2+D65^2)</f>
        <v>360.620201874493</v>
      </c>
      <c r="Q65" s="2" t="n">
        <f aca="false">ATAN(F65/P65)</f>
        <v>0.228851328135517</v>
      </c>
    </row>
    <row r="66" customFormat="false" ht="15.75" hidden="false" customHeight="false" outlineLevel="0" collapsed="false">
      <c r="A66" s="2" t="s">
        <v>75</v>
      </c>
      <c r="B66" s="1" t="s">
        <v>76</v>
      </c>
      <c r="C66" s="8" t="n">
        <v>-241</v>
      </c>
      <c r="D66" s="1" t="n">
        <v>250.2</v>
      </c>
      <c r="E66" s="1" t="n">
        <v>105</v>
      </c>
      <c r="F66" s="0" t="n">
        <f aca="false">E66+69</f>
        <v>174</v>
      </c>
      <c r="G66" s="2"/>
      <c r="H66" s="2" t="n">
        <v>65</v>
      </c>
      <c r="I66" s="2" t="n">
        <f aca="false">C66/248.3</f>
        <v>-0.970600080547725</v>
      </c>
      <c r="J66" s="2" t="n">
        <f aca="false">D66/315</f>
        <v>0.794285714285714</v>
      </c>
      <c r="K66" s="0" t="n">
        <f aca="false">F66/366</f>
        <v>0.475409836065574</v>
      </c>
      <c r="L66" s="2"/>
      <c r="M66" s="5" t="n">
        <v>90</v>
      </c>
      <c r="N66" s="5" t="n">
        <f aca="false">(Q66/PI())*-180</f>
        <v>-26.6051637696678</v>
      </c>
      <c r="O66" s="5"/>
      <c r="P66" s="2" t="n">
        <f aca="false">SQRT(C66^2+D66^2)</f>
        <v>347.391767317534</v>
      </c>
      <c r="Q66" s="2" t="n">
        <f aca="false">ATAN(F66/P66)</f>
        <v>0.46434770581301</v>
      </c>
    </row>
    <row r="67" customFormat="false" ht="15.75" hidden="false" customHeight="false" outlineLevel="0" collapsed="false">
      <c r="B67" s="1" t="s">
        <v>77</v>
      </c>
      <c r="C67" s="8" t="n">
        <v>-241</v>
      </c>
      <c r="D67" s="1" t="n">
        <v>151.8</v>
      </c>
      <c r="E67" s="1" t="n">
        <v>105</v>
      </c>
      <c r="F67" s="0" t="n">
        <f aca="false">E67+69</f>
        <v>174</v>
      </c>
      <c r="G67" s="2"/>
      <c r="H67" s="2" t="n">
        <v>66</v>
      </c>
      <c r="I67" s="2" t="n">
        <f aca="false">C67/248.3</f>
        <v>-0.970600080547725</v>
      </c>
      <c r="J67" s="2" t="n">
        <f aca="false">D67/315</f>
        <v>0.481904761904762</v>
      </c>
      <c r="K67" s="0" t="n">
        <f aca="false">F67/366</f>
        <v>0.475409836065574</v>
      </c>
      <c r="L67" s="2"/>
      <c r="M67" s="5" t="n">
        <v>90</v>
      </c>
      <c r="N67" s="5" t="n">
        <f aca="false">(Q67/PI())*-180</f>
        <v>-31.4209811531991</v>
      </c>
      <c r="O67" s="5"/>
      <c r="P67" s="2" t="n">
        <f aca="false">SQRT(C67^2+D67^2)</f>
        <v>284.82317321454</v>
      </c>
      <c r="Q67" s="2" t="n">
        <f aca="false">ATAN(F67/P67)</f>
        <v>0.54839957533041</v>
      </c>
    </row>
    <row r="68" customFormat="false" ht="15.75" hidden="false" customHeight="false" outlineLevel="0" collapsed="false">
      <c r="B68" s="1" t="s">
        <v>78</v>
      </c>
      <c r="C68" s="8" t="n">
        <v>-241</v>
      </c>
      <c r="D68" s="1" t="n">
        <v>50.3</v>
      </c>
      <c r="E68" s="1" t="n">
        <v>105</v>
      </c>
      <c r="F68" s="0" t="n">
        <f aca="false">E68+69</f>
        <v>174</v>
      </c>
      <c r="G68" s="2"/>
      <c r="H68" s="2" t="n">
        <v>67</v>
      </c>
      <c r="I68" s="2" t="n">
        <f aca="false">C68/248.3</f>
        <v>-0.970600080547725</v>
      </c>
      <c r="J68" s="2" t="n">
        <f aca="false">D68/315</f>
        <v>0.15968253968254</v>
      </c>
      <c r="K68" s="0" t="n">
        <f aca="false">F68/366</f>
        <v>0.475409836065574</v>
      </c>
      <c r="L68" s="2"/>
      <c r="M68" s="5" t="n">
        <v>90</v>
      </c>
      <c r="N68" s="5" t="n">
        <f aca="false">(Q68/PI())*-180</f>
        <v>-35.2512185009514</v>
      </c>
      <c r="O68" s="5"/>
      <c r="P68" s="2" t="n">
        <f aca="false">SQRT(C68^2+D68^2)</f>
        <v>246.193196494135</v>
      </c>
      <c r="Q68" s="2" t="n">
        <f aca="false">ATAN(F68/P68)</f>
        <v>0.615249828181541</v>
      </c>
    </row>
    <row r="69" customFormat="false" ht="15.75" hidden="false" customHeight="false" outlineLevel="0" collapsed="false">
      <c r="B69" s="1" t="s">
        <v>79</v>
      </c>
      <c r="C69" s="8" t="n">
        <v>-241</v>
      </c>
      <c r="D69" s="1" t="n">
        <v>-51.1</v>
      </c>
      <c r="E69" s="1" t="n">
        <v>105</v>
      </c>
      <c r="F69" s="0" t="n">
        <f aca="false">E69+69</f>
        <v>174</v>
      </c>
      <c r="G69" s="2"/>
      <c r="H69" s="2" t="n">
        <v>68</v>
      </c>
      <c r="I69" s="2" t="n">
        <f aca="false">C69/248.3</f>
        <v>-0.970600080547725</v>
      </c>
      <c r="J69" s="2" t="n">
        <f aca="false">D69/315</f>
        <v>-0.162222222222222</v>
      </c>
      <c r="K69" s="0" t="n">
        <f aca="false">F69/366</f>
        <v>0.475409836065574</v>
      </c>
      <c r="L69" s="2"/>
      <c r="M69" s="5" t="n">
        <v>90</v>
      </c>
      <c r="N69" s="5" t="n">
        <f aca="false">(Q69/PI())*-180</f>
        <v>-35.2331612088001</v>
      </c>
      <c r="O69" s="5"/>
      <c r="P69" s="2" t="n">
        <f aca="false">SQRT(C69^2+D69^2)</f>
        <v>246.357890070523</v>
      </c>
      <c r="Q69" s="2" t="n">
        <f aca="false">ATAN(F69/P69)</f>
        <v>0.614934668979506</v>
      </c>
    </row>
    <row r="70" customFormat="false" ht="15.75" hidden="false" customHeight="false" outlineLevel="0" collapsed="false">
      <c r="B70" s="1" t="s">
        <v>80</v>
      </c>
      <c r="C70" s="8" t="n">
        <v>-241</v>
      </c>
      <c r="D70" s="1" t="n">
        <v>-153.6</v>
      </c>
      <c r="E70" s="1" t="n">
        <v>105</v>
      </c>
      <c r="F70" s="0" t="n">
        <f aca="false">E70+69</f>
        <v>174</v>
      </c>
      <c r="G70" s="2"/>
      <c r="H70" s="2" t="n">
        <v>69</v>
      </c>
      <c r="I70" s="2" t="n">
        <f aca="false">C70/248.3</f>
        <v>-0.970600080547725</v>
      </c>
      <c r="J70" s="2" t="n">
        <f aca="false">D70/315</f>
        <v>-0.487619047619048</v>
      </c>
      <c r="K70" s="0" t="n">
        <f aca="false">F70/366</f>
        <v>0.475409836065574</v>
      </c>
      <c r="L70" s="2"/>
      <c r="M70" s="5" t="n">
        <v>90</v>
      </c>
      <c r="N70" s="5" t="n">
        <f aca="false">(Q70/PI())*-180</f>
        <v>-31.3349770109613</v>
      </c>
      <c r="O70" s="5"/>
      <c r="P70" s="2" t="n">
        <f aca="false">SQRT(C70^2+D70^2)</f>
        <v>285.786563714951</v>
      </c>
      <c r="Q70" s="2" t="n">
        <f aca="false">ATAN(F70/P70)</f>
        <v>0.546898519878005</v>
      </c>
    </row>
    <row r="71" customFormat="false" ht="15.75" hidden="false" customHeight="false" outlineLevel="0" collapsed="false">
      <c r="B71" s="1" t="s">
        <v>81</v>
      </c>
      <c r="C71" s="8" t="n">
        <v>-241</v>
      </c>
      <c r="D71" s="1" t="n">
        <v>-252</v>
      </c>
      <c r="E71" s="1" t="n">
        <v>105</v>
      </c>
      <c r="F71" s="0" t="n">
        <f aca="false">E71+69</f>
        <v>174</v>
      </c>
      <c r="G71" s="2"/>
      <c r="H71" s="2" t="n">
        <v>70</v>
      </c>
      <c r="I71" s="2" t="n">
        <f aca="false">C71/248.3</f>
        <v>-0.970600080547725</v>
      </c>
      <c r="J71" s="2" t="n">
        <f aca="false">D71/315</f>
        <v>-0.8</v>
      </c>
      <c r="K71" s="0" t="n">
        <f aca="false">F71/366</f>
        <v>0.475409836065574</v>
      </c>
      <c r="L71" s="2"/>
      <c r="M71" s="5" t="n">
        <v>90</v>
      </c>
      <c r="N71" s="5" t="n">
        <f aca="false">(Q71/PI())*-180</f>
        <v>-26.5196549464503</v>
      </c>
      <c r="O71" s="5"/>
      <c r="P71" s="2" t="n">
        <f aca="false">SQRT(C71^2+D71^2)</f>
        <v>348.69040709489</v>
      </c>
      <c r="Q71" s="2" t="n">
        <f aca="false">ATAN(F71/P71)</f>
        <v>0.462855295308357</v>
      </c>
    </row>
    <row r="72" customFormat="false" ht="15.75" hidden="false" customHeight="false" outlineLevel="0" collapsed="false">
      <c r="B72" s="1" t="s">
        <v>82</v>
      </c>
      <c r="C72" s="1" t="n">
        <v>-152.4</v>
      </c>
      <c r="D72" s="4" t="n">
        <v>-291.8</v>
      </c>
      <c r="E72" s="1" t="n">
        <v>105</v>
      </c>
      <c r="F72" s="0" t="n">
        <f aca="false">E72+69</f>
        <v>174</v>
      </c>
      <c r="G72" s="2"/>
      <c r="H72" s="2" t="n">
        <v>71</v>
      </c>
      <c r="I72" s="2" t="n">
        <f aca="false">C72/248.3</f>
        <v>-0.61377366089408</v>
      </c>
      <c r="J72" s="2" t="n">
        <f aca="false">D72/315</f>
        <v>-0.926349206349206</v>
      </c>
      <c r="K72" s="0" t="n">
        <f aca="false">F72/366</f>
        <v>0.475409836065574</v>
      </c>
      <c r="L72" s="2"/>
      <c r="M72" s="5" t="n">
        <v>0</v>
      </c>
      <c r="N72" s="5" t="n">
        <f aca="false">(Q72/PI())*-180</f>
        <v>-27.8588340131097</v>
      </c>
      <c r="O72" s="5"/>
      <c r="P72" s="2" t="n">
        <f aca="false">SQRT(C72^2+D72^2)</f>
        <v>329.200546779619</v>
      </c>
      <c r="Q72" s="2" t="n">
        <f aca="false">ATAN(F72/P72)</f>
        <v>0.48622837929535</v>
      </c>
    </row>
    <row r="73" customFormat="false" ht="15.75" hidden="false" customHeight="false" outlineLevel="0" collapsed="false">
      <c r="B73" s="1" t="s">
        <v>83</v>
      </c>
      <c r="C73" s="1" t="n">
        <v>-52</v>
      </c>
      <c r="D73" s="4" t="n">
        <v>-291.8</v>
      </c>
      <c r="E73" s="1" t="n">
        <v>105</v>
      </c>
      <c r="F73" s="0" t="n">
        <f aca="false">E73+69</f>
        <v>174</v>
      </c>
      <c r="G73" s="2"/>
      <c r="H73" s="2" t="n">
        <v>72</v>
      </c>
      <c r="I73" s="2" t="n">
        <f aca="false">C73/248.3</f>
        <v>-0.209424083769634</v>
      </c>
      <c r="J73" s="2" t="n">
        <f aca="false">D73/315</f>
        <v>-0.926349206349206</v>
      </c>
      <c r="K73" s="0" t="n">
        <f aca="false">F73/366</f>
        <v>0.475409836065574</v>
      </c>
      <c r="L73" s="2"/>
      <c r="M73" s="5" t="n">
        <v>0</v>
      </c>
      <c r="N73" s="5" t="n">
        <f aca="false">(Q73/PI())*-180</f>
        <v>-30.4150766003347</v>
      </c>
      <c r="O73" s="5"/>
      <c r="P73" s="2" t="n">
        <f aca="false">SQRT(C73^2+D73^2)</f>
        <v>296.397098501318</v>
      </c>
      <c r="Q73" s="2" t="n">
        <f aca="false">ATAN(F73/P73)</f>
        <v>0.530843228922123</v>
      </c>
    </row>
    <row r="74" customFormat="false" ht="15.75" hidden="false" customHeight="false" outlineLevel="0" collapsed="false">
      <c r="B74" s="1" t="s">
        <v>84</v>
      </c>
      <c r="C74" s="1" t="n">
        <v>52.5</v>
      </c>
      <c r="D74" s="4" t="n">
        <v>-291.8</v>
      </c>
      <c r="E74" s="1" t="n">
        <v>105</v>
      </c>
      <c r="F74" s="0" t="n">
        <f aca="false">E74+69</f>
        <v>174</v>
      </c>
      <c r="G74" s="2"/>
      <c r="H74" s="2" t="n">
        <v>73</v>
      </c>
      <c r="I74" s="2" t="n">
        <f aca="false">C74/248.3</f>
        <v>0.211437776882803</v>
      </c>
      <c r="J74" s="2" t="n">
        <f aca="false">D74/315</f>
        <v>-0.926349206349206</v>
      </c>
      <c r="K74" s="0" t="n">
        <f aca="false">F74/366</f>
        <v>0.475409836065574</v>
      </c>
      <c r="L74" s="2"/>
      <c r="M74" s="5" t="n">
        <v>0</v>
      </c>
      <c r="N74" s="5" t="n">
        <f aca="false">(Q74/PI())*-180</f>
        <v>-30.4076405282942</v>
      </c>
      <c r="O74" s="5"/>
      <c r="P74" s="2" t="n">
        <f aca="false">SQRT(C74^2+D74^2)</f>
        <v>296.485227287971</v>
      </c>
      <c r="Q74" s="2" t="n">
        <f aca="false">ATAN(F74/P74)</f>
        <v>0.530713444981602</v>
      </c>
    </row>
    <row r="75" customFormat="false" ht="15.75" hidden="false" customHeight="false" outlineLevel="0" collapsed="false">
      <c r="B75" s="1" t="s">
        <v>85</v>
      </c>
      <c r="C75" s="1" t="n">
        <v>150.9</v>
      </c>
      <c r="D75" s="4" t="n">
        <v>-291.8</v>
      </c>
      <c r="E75" s="1" t="n">
        <v>105</v>
      </c>
      <c r="F75" s="0" t="n">
        <f aca="false">E75+69</f>
        <v>174</v>
      </c>
      <c r="G75" s="2"/>
      <c r="H75" s="2" t="n">
        <v>74</v>
      </c>
      <c r="I75" s="2" t="n">
        <f aca="false">C75/248.3</f>
        <v>0.607732581554571</v>
      </c>
      <c r="J75" s="2" t="n">
        <f aca="false">D75/315</f>
        <v>-0.926349206349206</v>
      </c>
      <c r="K75" s="0" t="n">
        <f aca="false">F75/366</f>
        <v>0.475409836065574</v>
      </c>
      <c r="L75" s="2"/>
      <c r="M75" s="5" t="n">
        <v>0</v>
      </c>
      <c r="N75" s="5" t="n">
        <f aca="false">(Q75/PI())*-180</f>
        <v>-27.9086534173193</v>
      </c>
      <c r="O75" s="5"/>
      <c r="P75" s="2" t="n">
        <f aca="false">SQRT(C75^2+D75^2)</f>
        <v>328.508827887471</v>
      </c>
      <c r="Q75" s="2" t="n">
        <f aca="false">ATAN(F75/P75)</f>
        <v>0.487097891930189</v>
      </c>
    </row>
    <row r="76" customFormat="false" ht="15.75" hidden="false" customHeight="false" outlineLevel="0" collapsed="false">
      <c r="B76" s="1" t="s">
        <v>86</v>
      </c>
      <c r="C76" s="7" t="n">
        <v>241.4</v>
      </c>
      <c r="D76" s="1" t="n">
        <v>-252</v>
      </c>
      <c r="E76" s="1" t="n">
        <v>105</v>
      </c>
      <c r="F76" s="0" t="n">
        <f aca="false">E76+69</f>
        <v>174</v>
      </c>
      <c r="G76" s="2"/>
      <c r="H76" s="2" t="n">
        <v>75</v>
      </c>
      <c r="I76" s="2" t="n">
        <f aca="false">C76/248.3</f>
        <v>0.97221103503826</v>
      </c>
      <c r="J76" s="2" t="n">
        <f aca="false">D76/315</f>
        <v>-0.8</v>
      </c>
      <c r="K76" s="0" t="n">
        <f aca="false">F76/366</f>
        <v>0.475409836065574</v>
      </c>
      <c r="L76" s="2"/>
      <c r="M76" s="5" t="n">
        <v>270</v>
      </c>
      <c r="N76" s="5" t="n">
        <f aca="false">(Q76/PI())*-180</f>
        <v>-26.5015091940776</v>
      </c>
      <c r="O76" s="5"/>
      <c r="P76" s="2" t="n">
        <f aca="false">SQRT(C76^2+D76^2)</f>
        <v>348.966989842879</v>
      </c>
      <c r="Q76" s="2" t="n">
        <f aca="false">ATAN(F76/P76)</f>
        <v>0.462538592184203</v>
      </c>
    </row>
    <row r="77" customFormat="false" ht="15.75" hidden="false" customHeight="false" outlineLevel="0" collapsed="false">
      <c r="B77" s="1" t="s">
        <v>87</v>
      </c>
      <c r="C77" s="7" t="n">
        <v>241.4</v>
      </c>
      <c r="D77" s="1" t="n">
        <v>-154.6</v>
      </c>
      <c r="E77" s="1" t="n">
        <v>105</v>
      </c>
      <c r="F77" s="0" t="n">
        <f aca="false">E77+69</f>
        <v>174</v>
      </c>
      <c r="G77" s="2"/>
      <c r="H77" s="2" t="n">
        <v>76</v>
      </c>
      <c r="I77" s="2" t="n">
        <f aca="false">C77/248.3</f>
        <v>0.97221103503826</v>
      </c>
      <c r="J77" s="2" t="n">
        <f aca="false">D77/315</f>
        <v>-0.490793650793651</v>
      </c>
      <c r="K77" s="0" t="n">
        <f aca="false">F77/366</f>
        <v>0.475409836065574</v>
      </c>
      <c r="L77" s="2"/>
      <c r="M77" s="5" t="n">
        <v>270</v>
      </c>
      <c r="N77" s="5" t="n">
        <f aca="false">(Q77/PI())*-180</f>
        <v>-31.257188034505</v>
      </c>
      <c r="O77" s="5"/>
      <c r="P77" s="2" t="n">
        <f aca="false">SQRT(C77^2+D77^2)</f>
        <v>286.66203097027</v>
      </c>
      <c r="Q77" s="2" t="n">
        <f aca="false">ATAN(F77/P77)</f>
        <v>0.545540846117087</v>
      </c>
    </row>
    <row r="78" customFormat="false" ht="15.75" hidden="false" customHeight="false" outlineLevel="0" collapsed="false">
      <c r="B78" s="1" t="s">
        <v>88</v>
      </c>
      <c r="C78" s="7" t="n">
        <v>241.4</v>
      </c>
      <c r="D78" s="1" t="n">
        <v>-50.1</v>
      </c>
      <c r="E78" s="1" t="n">
        <v>105</v>
      </c>
      <c r="F78" s="0" t="n">
        <f aca="false">E78+69</f>
        <v>174</v>
      </c>
      <c r="G78" s="2"/>
      <c r="H78" s="2" t="n">
        <v>77</v>
      </c>
      <c r="I78" s="2" t="n">
        <f aca="false">C78/248.3</f>
        <v>0.97221103503826</v>
      </c>
      <c r="J78" s="2" t="n">
        <f aca="false">D78/315</f>
        <v>-0.159047619047619</v>
      </c>
      <c r="K78" s="0" t="n">
        <f aca="false">F78/366</f>
        <v>0.475409836065574</v>
      </c>
      <c r="L78" s="2"/>
      <c r="M78" s="5" t="n">
        <v>270</v>
      </c>
      <c r="N78" s="5" t="n">
        <f aca="false">(Q78/PI())*-180</f>
        <v>-35.2127693794205</v>
      </c>
      <c r="O78" s="5"/>
      <c r="P78" s="2" t="n">
        <f aca="false">SQRT(C78^2+D78^2)</f>
        <v>246.544052858713</v>
      </c>
      <c r="Q78" s="2" t="n">
        <f aca="false">ATAN(F78/P78)</f>
        <v>0.614578764416327</v>
      </c>
    </row>
    <row r="79" customFormat="false" ht="15.75" hidden="false" customHeight="false" outlineLevel="0" collapsed="false">
      <c r="B79" s="1" t="s">
        <v>89</v>
      </c>
      <c r="C79" s="7" t="n">
        <v>241.4</v>
      </c>
      <c r="D79" s="1" t="n">
        <v>49.3</v>
      </c>
      <c r="E79" s="1" t="n">
        <v>105</v>
      </c>
      <c r="F79" s="0" t="n">
        <f aca="false">E79+69</f>
        <v>174</v>
      </c>
      <c r="G79" s="2"/>
      <c r="H79" s="2" t="n">
        <v>78</v>
      </c>
      <c r="I79" s="2" t="n">
        <f aca="false">C79/248.3</f>
        <v>0.97221103503826</v>
      </c>
      <c r="J79" s="2" t="n">
        <f aca="false">D79/315</f>
        <v>0.156507936507937</v>
      </c>
      <c r="K79" s="0" t="n">
        <f aca="false">F79/366</f>
        <v>0.475409836065574</v>
      </c>
      <c r="L79" s="2"/>
      <c r="M79" s="5" t="n">
        <v>270</v>
      </c>
      <c r="N79" s="5" t="n">
        <f aca="false">(Q79/PI())*-180</f>
        <v>-35.2304390336351</v>
      </c>
      <c r="O79" s="5"/>
      <c r="P79" s="2" t="n">
        <f aca="false">SQRT(C79^2+D79^2)</f>
        <v>246.382730725999</v>
      </c>
      <c r="Q79" s="2" t="n">
        <f aca="false">ATAN(F79/P79)</f>
        <v>0.614887158060062</v>
      </c>
    </row>
    <row r="80" customFormat="false" ht="15.75" hidden="false" customHeight="false" outlineLevel="0" collapsed="false">
      <c r="B80" s="1" t="s">
        <v>90</v>
      </c>
      <c r="C80" s="7" t="n">
        <v>241.4</v>
      </c>
      <c r="D80" s="1" t="n">
        <v>149.8</v>
      </c>
      <c r="E80" s="1" t="n">
        <v>105</v>
      </c>
      <c r="F80" s="0" t="n">
        <f aca="false">E80+69</f>
        <v>174</v>
      </c>
      <c r="G80" s="2"/>
      <c r="H80" s="2" t="n">
        <v>79</v>
      </c>
      <c r="I80" s="2" t="n">
        <f aca="false">C80/248.3</f>
        <v>0.97221103503826</v>
      </c>
      <c r="J80" s="2" t="n">
        <f aca="false">D80/315</f>
        <v>0.475555555555556</v>
      </c>
      <c r="K80" s="0" t="n">
        <f aca="false">F80/366</f>
        <v>0.475409836065574</v>
      </c>
      <c r="L80" s="2"/>
      <c r="M80" s="5" t="n">
        <v>270</v>
      </c>
      <c r="N80" s="5" t="n">
        <f aca="false">(Q80/PI())*-180</f>
        <v>-31.4856313371611</v>
      </c>
      <c r="O80" s="5"/>
      <c r="P80" s="2" t="n">
        <f aca="false">SQRT(C80^2+D80^2)</f>
        <v>284.102094325262</v>
      </c>
      <c r="Q80" s="2" t="n">
        <f aca="false">ATAN(F80/P80)</f>
        <v>0.549527933902566</v>
      </c>
    </row>
    <row r="81" customFormat="false" ht="15.75" hidden="false" customHeight="false" outlineLevel="0" collapsed="false">
      <c r="B81" s="1" t="s">
        <v>91</v>
      </c>
      <c r="C81" s="7" t="n">
        <v>241.4</v>
      </c>
      <c r="D81" s="1" t="n">
        <v>250.2</v>
      </c>
      <c r="E81" s="1" t="n">
        <v>105</v>
      </c>
      <c r="F81" s="0" t="n">
        <f aca="false">E81+69</f>
        <v>174</v>
      </c>
      <c r="G81" s="2"/>
      <c r="H81" s="2" t="n">
        <v>80</v>
      </c>
      <c r="I81" s="2" t="n">
        <f aca="false">C81/248.3</f>
        <v>0.97221103503826</v>
      </c>
      <c r="J81" s="2" t="n">
        <f aca="false">D81/315</f>
        <v>0.794285714285714</v>
      </c>
      <c r="K81" s="0" t="n">
        <f aca="false">F81/366</f>
        <v>0.475409836065574</v>
      </c>
      <c r="L81" s="2"/>
      <c r="M81" s="5" t="n">
        <v>270</v>
      </c>
      <c r="N81" s="5" t="n">
        <f aca="false">(Q81/PI())*-180</f>
        <v>-26.5868412413252</v>
      </c>
      <c r="O81" s="5"/>
      <c r="P81" s="2" t="n">
        <f aca="false">SQRT(C81^2+D81^2)</f>
        <v>347.669383178905</v>
      </c>
      <c r="Q81" s="2" t="n">
        <f aca="false">ATAN(F81/P81)</f>
        <v>0.464027917366141</v>
      </c>
    </row>
    <row r="82" customFormat="false" ht="15.75" hidden="false" customHeight="false" outlineLevel="0" collapsed="false">
      <c r="B82" s="1" t="s">
        <v>92</v>
      </c>
      <c r="C82" s="1" t="n">
        <v>153.9</v>
      </c>
      <c r="D82" s="6" t="n">
        <v>291</v>
      </c>
      <c r="E82" s="1" t="n">
        <v>105</v>
      </c>
      <c r="F82" s="0" t="n">
        <f aca="false">E82+69</f>
        <v>174</v>
      </c>
      <c r="G82" s="2"/>
      <c r="H82" s="2" t="n">
        <v>81</v>
      </c>
      <c r="I82" s="2" t="n">
        <f aca="false">C82/248.3</f>
        <v>0.619814740233588</v>
      </c>
      <c r="J82" s="2" t="n">
        <f aca="false">D82/315</f>
        <v>0.923809523809524</v>
      </c>
      <c r="K82" s="0" t="n">
        <f aca="false">F82/366</f>
        <v>0.475409836065574</v>
      </c>
      <c r="L82" s="2"/>
      <c r="M82" s="5" t="n">
        <v>180</v>
      </c>
      <c r="N82" s="5" t="n">
        <f aca="false">(Q82/PI())*-180</f>
        <v>-27.8595755825204</v>
      </c>
      <c r="O82" s="5"/>
      <c r="P82" s="2" t="n">
        <f aca="false">SQRT(C82^2+D82^2)</f>
        <v>329.190233755499</v>
      </c>
      <c r="Q82" s="2" t="n">
        <f aca="false">ATAN(F82/P82)</f>
        <v>0.486241322123198</v>
      </c>
    </row>
    <row r="83" customFormat="false" ht="15.75" hidden="false" customHeight="false" outlineLevel="0" collapsed="false">
      <c r="B83" s="1" t="s">
        <v>93</v>
      </c>
      <c r="C83" s="1" t="n">
        <v>51.5</v>
      </c>
      <c r="D83" s="6" t="n">
        <v>291</v>
      </c>
      <c r="E83" s="1" t="n">
        <v>105</v>
      </c>
      <c r="F83" s="0" t="n">
        <f aca="false">E83+69</f>
        <v>174</v>
      </c>
      <c r="G83" s="2"/>
      <c r="H83" s="2" t="n">
        <v>82</v>
      </c>
      <c r="I83" s="2" t="n">
        <f aca="false">C83/248.3</f>
        <v>0.207410390656464</v>
      </c>
      <c r="J83" s="2" t="n">
        <f aca="false">D83/315</f>
        <v>0.923809523809524</v>
      </c>
      <c r="K83" s="0" t="n">
        <f aca="false">F83/366</f>
        <v>0.475409836065574</v>
      </c>
      <c r="L83" s="2"/>
      <c r="M83" s="5" t="n">
        <v>180</v>
      </c>
      <c r="N83" s="5" t="n">
        <f aca="false">(Q83/PI())*-180</f>
        <v>-30.4890942445579</v>
      </c>
      <c r="O83" s="5"/>
      <c r="P83" s="2" t="n">
        <f aca="false">SQRT(C83^2+D83^2)</f>
        <v>295.521995797267</v>
      </c>
      <c r="Q83" s="2" t="n">
        <f aca="false">ATAN(F83/P83)</f>
        <v>0.532135080518388</v>
      </c>
    </row>
    <row r="84" customFormat="false" ht="15.75" hidden="false" customHeight="false" outlineLevel="0" collapsed="false">
      <c r="B84" s="1" t="s">
        <v>94</v>
      </c>
      <c r="C84" s="1" t="n">
        <v>-50</v>
      </c>
      <c r="D84" s="6" t="n">
        <v>291</v>
      </c>
      <c r="E84" s="1" t="n">
        <v>105</v>
      </c>
      <c r="F84" s="0" t="n">
        <f aca="false">E84+69</f>
        <v>174</v>
      </c>
      <c r="G84" s="2"/>
      <c r="H84" s="2" t="n">
        <v>83</v>
      </c>
      <c r="I84" s="2" t="n">
        <f aca="false">C84/248.3</f>
        <v>-0.201369311316955</v>
      </c>
      <c r="J84" s="2" t="n">
        <f aca="false">D84/315</f>
        <v>0.923809523809524</v>
      </c>
      <c r="K84" s="0" t="n">
        <f aca="false">F84/366</f>
        <v>0.475409836065574</v>
      </c>
      <c r="L84" s="2"/>
      <c r="M84" s="5" t="n">
        <v>180</v>
      </c>
      <c r="N84" s="5" t="n">
        <f aca="false">(Q84/PI())*-180</f>
        <v>-30.5109536626225</v>
      </c>
      <c r="O84" s="5"/>
      <c r="P84" s="2" t="n">
        <f aca="false">SQRT(C84^2+D84^2)</f>
        <v>295.26428839262</v>
      </c>
      <c r="Q84" s="2" t="n">
        <f aca="false">ATAN(F84/P84)</f>
        <v>0.532516599336185</v>
      </c>
    </row>
    <row r="85" customFormat="false" ht="15.75" hidden="false" customHeight="false" outlineLevel="0" collapsed="false">
      <c r="B85" s="1" t="s">
        <v>95</v>
      </c>
      <c r="C85" s="1" t="n">
        <v>-150.4</v>
      </c>
      <c r="D85" s="6" t="n">
        <v>291</v>
      </c>
      <c r="E85" s="1" t="n">
        <v>105</v>
      </c>
      <c r="F85" s="0" t="n">
        <f aca="false">E85+69</f>
        <v>174</v>
      </c>
      <c r="G85" s="2"/>
      <c r="H85" s="2" t="n">
        <v>84</v>
      </c>
      <c r="I85" s="2" t="n">
        <f aca="false">C85/248.3</f>
        <v>-0.605718888441402</v>
      </c>
      <c r="J85" s="2" t="n">
        <f aca="false">D85/315</f>
        <v>0.923809523809524</v>
      </c>
      <c r="K85" s="0" t="n">
        <f aca="false">F85/366</f>
        <v>0.475409836065574</v>
      </c>
      <c r="L85" s="2"/>
      <c r="M85" s="5" t="n">
        <v>180</v>
      </c>
      <c r="N85" s="5" t="n">
        <f aca="false">(Q85/PI())*-180</f>
        <v>-27.9766374311603</v>
      </c>
      <c r="O85" s="5"/>
      <c r="P85" s="2" t="n">
        <f aca="false">SQRT(C85^2+D85^2)</f>
        <v>327.56855770968</v>
      </c>
      <c r="Q85" s="2" t="n">
        <f aca="false">ATAN(F85/P85)</f>
        <v>0.488284436810435</v>
      </c>
    </row>
    <row r="86" customFormat="false" ht="15.75" hidden="false" customHeight="false" outlineLevel="0" collapsed="false">
      <c r="A86" s="2" t="s">
        <v>96</v>
      </c>
      <c r="B86" s="1" t="s">
        <v>97</v>
      </c>
      <c r="C86" s="9" t="n">
        <v>-243.4</v>
      </c>
      <c r="D86" s="1" t="n">
        <v>202</v>
      </c>
      <c r="E86" s="1" t="n">
        <v>198</v>
      </c>
      <c r="F86" s="0" t="n">
        <f aca="false">E86+69</f>
        <v>267</v>
      </c>
      <c r="G86" s="2"/>
      <c r="H86" s="2" t="n">
        <v>85</v>
      </c>
      <c r="I86" s="2" t="n">
        <f aca="false">C86/248.3</f>
        <v>-0.980265807490938</v>
      </c>
      <c r="J86" s="2" t="n">
        <f aca="false">D86/315</f>
        <v>0.641269841269841</v>
      </c>
      <c r="K86" s="0" t="n">
        <f aca="false">F86/366</f>
        <v>0.729508196721312</v>
      </c>
      <c r="L86" s="2"/>
      <c r="M86" s="5" t="n">
        <v>90</v>
      </c>
      <c r="N86" s="5" t="n">
        <f aca="false">(Q86/PI())*-180</f>
        <v>-40.1686292735389</v>
      </c>
      <c r="O86" s="5"/>
      <c r="P86" s="2" t="n">
        <f aca="false">SQRT(C86^2+D86^2)</f>
        <v>316.302956040566</v>
      </c>
      <c r="Q86" s="2" t="n">
        <f aca="false">ATAN(F86/P86)</f>
        <v>0.701074836836232</v>
      </c>
    </row>
    <row r="87" customFormat="false" ht="15.75" hidden="false" customHeight="false" outlineLevel="0" collapsed="false">
      <c r="B87" s="1" t="s">
        <v>98</v>
      </c>
      <c r="C87" s="9" t="n">
        <v>-243.4</v>
      </c>
      <c r="D87" s="1" t="n">
        <v>96.9</v>
      </c>
      <c r="E87" s="1" t="n">
        <v>198</v>
      </c>
      <c r="F87" s="0" t="n">
        <f aca="false">E87+69</f>
        <v>267</v>
      </c>
      <c r="G87" s="2"/>
      <c r="H87" s="2" t="n">
        <v>86</v>
      </c>
      <c r="I87" s="2" t="n">
        <f aca="false">C87/248.3</f>
        <v>-0.980265807490938</v>
      </c>
      <c r="J87" s="2" t="n">
        <f aca="false">D87/315</f>
        <v>0.307619047619048</v>
      </c>
      <c r="K87" s="0" t="n">
        <f aca="false">F87/366</f>
        <v>0.729508196721312</v>
      </c>
      <c r="L87" s="2"/>
      <c r="M87" s="5" t="n">
        <v>90</v>
      </c>
      <c r="N87" s="5" t="n">
        <f aca="false">(Q87/PI())*-180</f>
        <v>-45.5437915538738</v>
      </c>
      <c r="O87" s="5"/>
      <c r="P87" s="2" t="n">
        <f aca="false">SQRT(C87^2+D87^2)</f>
        <v>261.979331245807</v>
      </c>
      <c r="Q87" s="2" t="n">
        <f aca="false">ATAN(F87/P87)</f>
        <v>0.794889116457082</v>
      </c>
    </row>
    <row r="88" customFormat="false" ht="15.75" hidden="false" customHeight="false" outlineLevel="0" collapsed="false">
      <c r="B88" s="1" t="s">
        <v>99</v>
      </c>
      <c r="C88" s="9" t="n">
        <v>-243.4</v>
      </c>
      <c r="D88" s="1" t="n">
        <v>-0.2</v>
      </c>
      <c r="E88" s="1" t="n">
        <v>198</v>
      </c>
      <c r="F88" s="0" t="n">
        <f aca="false">E88+69</f>
        <v>267</v>
      </c>
      <c r="G88" s="2"/>
      <c r="H88" s="2" t="n">
        <v>87</v>
      </c>
      <c r="I88" s="2" t="n">
        <f aca="false">C88/248.3</f>
        <v>-0.980265807490938</v>
      </c>
      <c r="J88" s="2" t="n">
        <f aca="false">D88/315</f>
        <v>-0.000634920634920635</v>
      </c>
      <c r="K88" s="0" t="n">
        <f aca="false">F88/366</f>
        <v>0.729508196721312</v>
      </c>
      <c r="L88" s="2"/>
      <c r="M88" s="5" t="n">
        <v>90</v>
      </c>
      <c r="N88" s="5" t="n">
        <f aca="false">(Q88/PI())*-180</f>
        <v>-47.6473610362421</v>
      </c>
      <c r="O88" s="5"/>
      <c r="P88" s="2" t="n">
        <f aca="false">SQRT(C88^2+D88^2)</f>
        <v>243.400082169255</v>
      </c>
      <c r="Q88" s="2" t="n">
        <f aca="false">ATAN(F88/P88)</f>
        <v>0.831603329968882</v>
      </c>
    </row>
    <row r="89" customFormat="false" ht="15.75" hidden="false" customHeight="false" outlineLevel="0" collapsed="false">
      <c r="B89" s="1" t="s">
        <v>100</v>
      </c>
      <c r="C89" s="9" t="n">
        <v>-243.4</v>
      </c>
      <c r="D89" s="1" t="n">
        <v>-100.4</v>
      </c>
      <c r="E89" s="1" t="n">
        <v>198</v>
      </c>
      <c r="F89" s="0" t="n">
        <f aca="false">E89+69</f>
        <v>267</v>
      </c>
      <c r="G89" s="2"/>
      <c r="H89" s="2" t="n">
        <v>88</v>
      </c>
      <c r="I89" s="2" t="n">
        <f aca="false">C89/248.3</f>
        <v>-0.980265807490938</v>
      </c>
      <c r="J89" s="2" t="n">
        <f aca="false">D89/315</f>
        <v>-0.318730158730159</v>
      </c>
      <c r="K89" s="0" t="n">
        <f aca="false">F89/366</f>
        <v>0.729508196721312</v>
      </c>
      <c r="L89" s="2"/>
      <c r="M89" s="5" t="n">
        <v>90</v>
      </c>
      <c r="N89" s="5" t="n">
        <f aca="false">(Q89/PI())*-180</f>
        <v>-45.4004115556158</v>
      </c>
      <c r="O89" s="5"/>
      <c r="P89" s="2" t="n">
        <f aca="false">SQRT(C89^2+D89^2)</f>
        <v>263.293980181849</v>
      </c>
      <c r="Q89" s="2" t="n">
        <f aca="false">ATAN(F89/P89)</f>
        <v>0.792386663405977</v>
      </c>
    </row>
    <row r="90" customFormat="false" ht="15.75" hidden="false" customHeight="false" outlineLevel="0" collapsed="false">
      <c r="B90" s="1" t="s">
        <v>101</v>
      </c>
      <c r="C90" s="9" t="n">
        <v>-243.4</v>
      </c>
      <c r="D90" s="1" t="n">
        <v>-200.5</v>
      </c>
      <c r="E90" s="1" t="n">
        <v>198</v>
      </c>
      <c r="F90" s="0" t="n">
        <f aca="false">E90+69</f>
        <v>267</v>
      </c>
      <c r="G90" s="2"/>
      <c r="H90" s="2" t="n">
        <v>89</v>
      </c>
      <c r="I90" s="2" t="n">
        <f aca="false">C90/248.3</f>
        <v>-0.980265807490938</v>
      </c>
      <c r="J90" s="2" t="n">
        <f aca="false">D90/315</f>
        <v>-0.636507936507937</v>
      </c>
      <c r="K90" s="0" t="n">
        <f aca="false">F90/366</f>
        <v>0.729508196721312</v>
      </c>
      <c r="L90" s="2"/>
      <c r="M90" s="5" t="n">
        <v>90</v>
      </c>
      <c r="N90" s="5" t="n">
        <f aca="false">(Q90/PI())*-180</f>
        <v>-40.2541223855504</v>
      </c>
      <c r="O90" s="5"/>
      <c r="P90" s="2" t="n">
        <f aca="false">SQRT(C90^2+D90^2)</f>
        <v>315.34712619588</v>
      </c>
      <c r="Q90" s="2" t="n">
        <f aca="false">ATAN(F90/P90)</f>
        <v>0.702566973128609</v>
      </c>
    </row>
    <row r="91" customFormat="false" ht="15.75" hidden="false" customHeight="false" outlineLevel="0" collapsed="false">
      <c r="B91" s="1" t="s">
        <v>102</v>
      </c>
      <c r="C91" s="1" t="n">
        <v>-208.9</v>
      </c>
      <c r="D91" s="6" t="n">
        <v>-291.8</v>
      </c>
      <c r="E91" s="1" t="n">
        <v>198</v>
      </c>
      <c r="F91" s="0" t="n">
        <f aca="false">E91+69</f>
        <v>267</v>
      </c>
      <c r="G91" s="2"/>
      <c r="H91" s="2" t="n">
        <v>90</v>
      </c>
      <c r="I91" s="2" t="n">
        <f aca="false">C91/248.3</f>
        <v>-0.841320982682239</v>
      </c>
      <c r="J91" s="2" t="n">
        <f aca="false">D91/315</f>
        <v>-0.926349206349206</v>
      </c>
      <c r="K91" s="0" t="n">
        <f aca="false">F91/366</f>
        <v>0.729508196721312</v>
      </c>
      <c r="L91" s="2"/>
      <c r="M91" s="5" t="n">
        <v>0</v>
      </c>
      <c r="N91" s="5" t="n">
        <f aca="false">(Q91/PI())*-180</f>
        <v>-36.6494521634953</v>
      </c>
      <c r="O91" s="5"/>
      <c r="P91" s="2" t="n">
        <f aca="false">SQRT(C91^2+D91^2)</f>
        <v>358.868290602555</v>
      </c>
      <c r="Q91" s="2" t="n">
        <f aca="false">ATAN(F91/P91)</f>
        <v>0.639653609305153</v>
      </c>
    </row>
    <row r="92" customFormat="false" ht="15.75" hidden="false" customHeight="false" outlineLevel="0" collapsed="false">
      <c r="B92" s="1" t="s">
        <v>103</v>
      </c>
      <c r="C92" s="1" t="n">
        <v>-104.7</v>
      </c>
      <c r="D92" s="6" t="n">
        <v>-291.8</v>
      </c>
      <c r="E92" s="1" t="n">
        <v>198</v>
      </c>
      <c r="F92" s="0" t="n">
        <f aca="false">E92+69</f>
        <v>267</v>
      </c>
      <c r="G92" s="2"/>
      <c r="H92" s="2" t="n">
        <v>91</v>
      </c>
      <c r="I92" s="2" t="n">
        <f aca="false">C92/248.3</f>
        <v>-0.421667337897704</v>
      </c>
      <c r="J92" s="2" t="n">
        <f aca="false">D92/315</f>
        <v>-0.926349206349206</v>
      </c>
      <c r="K92" s="0" t="n">
        <f aca="false">F92/366</f>
        <v>0.729508196721312</v>
      </c>
      <c r="L92" s="2"/>
      <c r="M92" s="5" t="n">
        <v>0</v>
      </c>
      <c r="N92" s="5" t="n">
        <f aca="false">(Q92/PI())*-180</f>
        <v>-40.7366270103348</v>
      </c>
      <c r="O92" s="5"/>
      <c r="P92" s="2" t="n">
        <f aca="false">SQRT(C92^2+D92^2)</f>
        <v>310.015048021866</v>
      </c>
      <c r="Q92" s="2" t="n">
        <f aca="false">ATAN(F92/P92)</f>
        <v>0.710988267487196</v>
      </c>
    </row>
    <row r="93" customFormat="false" ht="15.75" hidden="false" customHeight="false" outlineLevel="0" collapsed="false">
      <c r="B93" s="1" t="s">
        <v>104</v>
      </c>
      <c r="C93" s="1" t="n">
        <v>-7.6</v>
      </c>
      <c r="D93" s="6" t="n">
        <v>-291.8</v>
      </c>
      <c r="E93" s="1" t="n">
        <v>198</v>
      </c>
      <c r="F93" s="0" t="n">
        <f aca="false">E93+69</f>
        <v>267</v>
      </c>
      <c r="G93" s="2"/>
      <c r="H93" s="2" t="n">
        <v>92</v>
      </c>
      <c r="I93" s="2" t="n">
        <f aca="false">C93/248.3</f>
        <v>-0.0306081353201772</v>
      </c>
      <c r="J93" s="2" t="n">
        <f aca="false">D93/315</f>
        <v>-0.926349206349206</v>
      </c>
      <c r="K93" s="0" t="n">
        <f aca="false">F93/366</f>
        <v>0.729508196721312</v>
      </c>
      <c r="L93" s="2"/>
      <c r="M93" s="5" t="n">
        <v>0</v>
      </c>
      <c r="N93" s="5" t="n">
        <f aca="false">(Q93/PI())*-180</f>
        <v>-42.4491590011884</v>
      </c>
      <c r="O93" s="5"/>
      <c r="P93" s="2" t="n">
        <f aca="false">SQRT(C93^2+D93^2)</f>
        <v>291.898955119747</v>
      </c>
      <c r="Q93" s="2" t="n">
        <f aca="false">ATAN(F93/P93)</f>
        <v>0.740877589273326</v>
      </c>
    </row>
    <row r="94" customFormat="false" ht="15.75" hidden="false" customHeight="false" outlineLevel="0" collapsed="false">
      <c r="B94" s="1" t="s">
        <v>105</v>
      </c>
      <c r="C94" s="1" t="n">
        <v>92.5</v>
      </c>
      <c r="D94" s="6" t="n">
        <v>-291.8</v>
      </c>
      <c r="E94" s="1" t="n">
        <v>198</v>
      </c>
      <c r="F94" s="0" t="n">
        <f aca="false">E94+69</f>
        <v>267</v>
      </c>
      <c r="G94" s="2"/>
      <c r="H94" s="2" t="n">
        <v>93</v>
      </c>
      <c r="I94" s="2" t="n">
        <f aca="false">C94/248.3</f>
        <v>0.372533225936367</v>
      </c>
      <c r="J94" s="2" t="n">
        <f aca="false">D94/315</f>
        <v>-0.926349206349206</v>
      </c>
      <c r="K94" s="0" t="n">
        <f aca="false">F94/366</f>
        <v>0.729508196721312</v>
      </c>
      <c r="L94" s="2"/>
      <c r="M94" s="5" t="n">
        <v>0</v>
      </c>
      <c r="N94" s="5" t="n">
        <f aca="false">(Q94/PI())*-180</f>
        <v>-41.096067326825</v>
      </c>
      <c r="O94" s="5"/>
      <c r="P94" s="2" t="n">
        <f aca="false">SQRT(C94^2+D94^2)</f>
        <v>306.110257913713</v>
      </c>
      <c r="Q94" s="2" t="n">
        <f aca="false">ATAN(F94/P94)</f>
        <v>0.717261684474361</v>
      </c>
    </row>
    <row r="95" customFormat="false" ht="15.75" hidden="false" customHeight="false" outlineLevel="0" collapsed="false">
      <c r="B95" s="1" t="s">
        <v>106</v>
      </c>
      <c r="C95" s="1" t="n">
        <v>192.6</v>
      </c>
      <c r="D95" s="6" t="n">
        <v>-291.8</v>
      </c>
      <c r="E95" s="1" t="n">
        <v>198</v>
      </c>
      <c r="F95" s="0" t="n">
        <f aca="false">E95+69</f>
        <v>267</v>
      </c>
      <c r="G95" s="2"/>
      <c r="H95" s="2" t="n">
        <v>94</v>
      </c>
      <c r="I95" s="2" t="n">
        <f aca="false">C95/248.3</f>
        <v>0.775674587192912</v>
      </c>
      <c r="J95" s="2" t="n">
        <f aca="false">D95/315</f>
        <v>-0.926349206349206</v>
      </c>
      <c r="K95" s="0" t="n">
        <f aca="false">F95/366</f>
        <v>0.729508196721312</v>
      </c>
      <c r="L95" s="2"/>
      <c r="M95" s="5" t="n">
        <v>0</v>
      </c>
      <c r="N95" s="5" t="n">
        <f aca="false">(Q95/PI())*-180</f>
        <v>-37.367588139813</v>
      </c>
      <c r="O95" s="5"/>
      <c r="P95" s="2" t="n">
        <f aca="false">SQRT(C95^2+D95^2)</f>
        <v>349.631234302658</v>
      </c>
      <c r="Q95" s="2" t="n">
        <f aca="false">ATAN(F95/P95)</f>
        <v>0.65218744656892</v>
      </c>
    </row>
    <row r="96" customFormat="false" ht="15.75" hidden="false" customHeight="false" outlineLevel="0" collapsed="false">
      <c r="B96" s="1" t="s">
        <v>107</v>
      </c>
      <c r="C96" s="7" t="n">
        <v>241.4</v>
      </c>
      <c r="D96" s="1" t="n">
        <v>-201.5</v>
      </c>
      <c r="E96" s="1" t="n">
        <v>198</v>
      </c>
      <c r="F96" s="0" t="n">
        <f aca="false">E96+69</f>
        <v>267</v>
      </c>
      <c r="G96" s="2"/>
      <c r="H96" s="2" t="n">
        <v>95</v>
      </c>
      <c r="I96" s="2" t="n">
        <f aca="false">C96/248.3</f>
        <v>0.97221103503826</v>
      </c>
      <c r="J96" s="2" t="n">
        <f aca="false">D96/315</f>
        <v>-0.63968253968254</v>
      </c>
      <c r="K96" s="0" t="n">
        <f aca="false">F96/366</f>
        <v>0.729508196721312</v>
      </c>
      <c r="L96" s="2"/>
      <c r="M96" s="5" t="n">
        <v>270</v>
      </c>
      <c r="N96" s="5" t="n">
        <f aca="false">(Q96/PI())*-180</f>
        <v>-40.3350104999826</v>
      </c>
      <c r="O96" s="5"/>
      <c r="P96" s="2" t="n">
        <f aca="false">SQRT(C96^2+D96^2)</f>
        <v>314.445877695988</v>
      </c>
      <c r="Q96" s="2" t="n">
        <f aca="false">ATAN(F96/P96)</f>
        <v>0.70397873705118</v>
      </c>
    </row>
    <row r="97" customFormat="false" ht="15.75" hidden="false" customHeight="false" outlineLevel="0" collapsed="false">
      <c r="B97" s="1" t="s">
        <v>108</v>
      </c>
      <c r="C97" s="7" t="n">
        <v>241.4</v>
      </c>
      <c r="D97" s="1" t="n">
        <v>-97.4</v>
      </c>
      <c r="E97" s="1" t="n">
        <v>198</v>
      </c>
      <c r="F97" s="0" t="n">
        <f aca="false">E97+69</f>
        <v>267</v>
      </c>
      <c r="G97" s="2"/>
      <c r="H97" s="2" t="n">
        <v>96</v>
      </c>
      <c r="I97" s="2" t="n">
        <f aca="false">C97/248.3</f>
        <v>0.97221103503826</v>
      </c>
      <c r="J97" s="2" t="n">
        <f aca="false">D97/315</f>
        <v>-0.309206349206349</v>
      </c>
      <c r="K97" s="0" t="n">
        <f aca="false">F97/366</f>
        <v>0.729508196721312</v>
      </c>
      <c r="L97" s="2"/>
      <c r="M97" s="5" t="n">
        <v>270</v>
      </c>
      <c r="N97" s="5" t="n">
        <f aca="false">(Q97/PI())*-180</f>
        <v>-45.7269962581041</v>
      </c>
      <c r="O97" s="5"/>
      <c r="P97" s="2" t="n">
        <f aca="false">SQRT(C97^2+D97^2)</f>
        <v>260.308893432399</v>
      </c>
      <c r="Q97" s="2" t="n">
        <f aca="false">ATAN(F97/P97)</f>
        <v>0.798086641751043</v>
      </c>
    </row>
    <row r="98" customFormat="false" ht="15.75" hidden="false" customHeight="false" outlineLevel="0" collapsed="false">
      <c r="B98" s="1" t="s">
        <v>109</v>
      </c>
      <c r="C98" s="7" t="n">
        <v>241.4</v>
      </c>
      <c r="D98" s="1" t="n">
        <v>-0.2</v>
      </c>
      <c r="E98" s="1" t="n">
        <v>198</v>
      </c>
      <c r="F98" s="0" t="n">
        <f aca="false">E98+69</f>
        <v>267</v>
      </c>
      <c r="G98" s="2"/>
      <c r="H98" s="2" t="n">
        <v>97</v>
      </c>
      <c r="I98" s="2" t="n">
        <f aca="false">C98/248.3</f>
        <v>0.97221103503826</v>
      </c>
      <c r="J98" s="2" t="n">
        <f aca="false">D98/315</f>
        <v>-0.000634920634920635</v>
      </c>
      <c r="K98" s="0" t="n">
        <f aca="false">F98/366</f>
        <v>0.729508196721312</v>
      </c>
      <c r="L98" s="2"/>
      <c r="M98" s="5" t="n">
        <v>270</v>
      </c>
      <c r="N98" s="5" t="n">
        <f aca="false">(Q98/PI())*-180</f>
        <v>-47.8826301789991</v>
      </c>
      <c r="O98" s="5"/>
      <c r="P98" s="2" t="n">
        <f aca="false">SQRT(C98^2+D98^2)</f>
        <v>241.400082850027</v>
      </c>
      <c r="Q98" s="2" t="n">
        <f aca="false">ATAN(F98/P98)</f>
        <v>0.835709551138336</v>
      </c>
    </row>
    <row r="99" customFormat="false" ht="15.75" hidden="false" customHeight="false" outlineLevel="0" collapsed="false">
      <c r="B99" s="1" t="s">
        <v>110</v>
      </c>
      <c r="C99" s="7" t="n">
        <v>241.4</v>
      </c>
      <c r="D99" s="1" t="n">
        <v>99.9</v>
      </c>
      <c r="E99" s="1" t="n">
        <v>198</v>
      </c>
      <c r="F99" s="0" t="n">
        <f aca="false">E99+69</f>
        <v>267</v>
      </c>
      <c r="G99" s="2"/>
      <c r="H99" s="2" t="n">
        <v>98</v>
      </c>
      <c r="I99" s="2" t="n">
        <f aca="false">C99/248.3</f>
        <v>0.97221103503826</v>
      </c>
      <c r="J99" s="2" t="n">
        <f aca="false">D99/315</f>
        <v>0.317142857142857</v>
      </c>
      <c r="K99" s="0" t="n">
        <f aca="false">F99/366</f>
        <v>0.729508196721312</v>
      </c>
      <c r="L99" s="2"/>
      <c r="M99" s="5" t="n">
        <v>270</v>
      </c>
      <c r="N99" s="5" t="n">
        <f aca="false">(Q99/PI())*-180</f>
        <v>-45.6231346617996</v>
      </c>
      <c r="O99" s="5"/>
      <c r="P99" s="2" t="n">
        <f aca="false">SQRT(C99^2+D99^2)</f>
        <v>261.254607614871</v>
      </c>
      <c r="Q99" s="2" t="n">
        <f aca="false">ATAN(F99/P99)</f>
        <v>0.796273914929152</v>
      </c>
    </row>
    <row r="100" customFormat="false" ht="15.75" hidden="false" customHeight="false" outlineLevel="0" collapsed="false">
      <c r="B100" s="1" t="s">
        <v>111</v>
      </c>
      <c r="C100" s="7" t="n">
        <v>241.4</v>
      </c>
      <c r="D100" s="1" t="n">
        <v>200</v>
      </c>
      <c r="E100" s="1" t="n">
        <v>198</v>
      </c>
      <c r="F100" s="0" t="n">
        <f aca="false">E100+69</f>
        <v>267</v>
      </c>
      <c r="G100" s="2"/>
      <c r="H100" s="2" t="n">
        <v>99</v>
      </c>
      <c r="I100" s="2" t="n">
        <f aca="false">C100/248.3</f>
        <v>0.97221103503826</v>
      </c>
      <c r="J100" s="2" t="n">
        <f aca="false">D100/315</f>
        <v>0.634920634920635</v>
      </c>
      <c r="K100" s="0" t="n">
        <f aca="false">F100/366</f>
        <v>0.729508196721312</v>
      </c>
      <c r="L100" s="2"/>
      <c r="M100" s="5" t="n">
        <v>270</v>
      </c>
      <c r="N100" s="5" t="n">
        <f aca="false">(Q100/PI())*-180</f>
        <v>-40.4213872612776</v>
      </c>
      <c r="O100" s="5"/>
      <c r="P100" s="2" t="n">
        <f aca="false">SQRT(C100^2+D100^2)</f>
        <v>313.486778030589</v>
      </c>
      <c r="Q100" s="2" t="n">
        <f aca="false">ATAN(F100/P100)</f>
        <v>0.705486295932987</v>
      </c>
    </row>
    <row r="101" customFormat="false" ht="15.75" hidden="false" customHeight="false" outlineLevel="0" collapsed="false">
      <c r="B101" s="1" t="s">
        <v>112</v>
      </c>
      <c r="C101" s="1" t="n">
        <v>203.8</v>
      </c>
      <c r="D101" s="10" t="n">
        <v>290.4</v>
      </c>
      <c r="E101" s="1" t="n">
        <v>198</v>
      </c>
      <c r="F101" s="0" t="n">
        <f aca="false">E101+69</f>
        <v>267</v>
      </c>
      <c r="G101" s="2"/>
      <c r="H101" s="2" t="n">
        <v>100</v>
      </c>
      <c r="I101" s="2" t="n">
        <f aca="false">C101/248.3</f>
        <v>0.82078131292791</v>
      </c>
      <c r="J101" s="2" t="n">
        <f aca="false">D101/315</f>
        <v>0.921904761904762</v>
      </c>
      <c r="K101" s="0" t="n">
        <f aca="false">F101/366</f>
        <v>0.729508196721312</v>
      </c>
      <c r="L101" s="2"/>
      <c r="M101" s="5" t="n">
        <v>180</v>
      </c>
      <c r="N101" s="5" t="n">
        <f aca="false">(Q101/PI())*-180</f>
        <v>-36.9645989358233</v>
      </c>
      <c r="O101" s="5"/>
      <c r="P101" s="2" t="n">
        <f aca="false">SQRT(C101^2+D101^2)</f>
        <v>354.776831261569</v>
      </c>
      <c r="Q101" s="2" t="n">
        <f aca="false">ATAN(F101/P101)</f>
        <v>0.645153958109309</v>
      </c>
    </row>
    <row r="102" customFormat="false" ht="15.75" hidden="false" customHeight="false" outlineLevel="0" collapsed="false">
      <c r="B102" s="1" t="s">
        <v>113</v>
      </c>
      <c r="C102" s="1" t="n">
        <v>104.7</v>
      </c>
      <c r="D102" s="10" t="n">
        <v>290.4</v>
      </c>
      <c r="E102" s="1" t="n">
        <v>198</v>
      </c>
      <c r="F102" s="0" t="n">
        <f aca="false">E102+69</f>
        <v>267</v>
      </c>
      <c r="G102" s="2"/>
      <c r="H102" s="2" t="n">
        <v>101</v>
      </c>
      <c r="I102" s="2" t="n">
        <f aca="false">C102/248.3</f>
        <v>0.421667337897704</v>
      </c>
      <c r="J102" s="2" t="n">
        <f aca="false">D102/315</f>
        <v>0.921904761904762</v>
      </c>
      <c r="K102" s="0" t="n">
        <f aca="false">F102/366</f>
        <v>0.729508196721312</v>
      </c>
      <c r="L102" s="2"/>
      <c r="M102" s="5" t="n">
        <v>180</v>
      </c>
      <c r="N102" s="5" t="n">
        <f aca="false">(Q102/PI())*-180</f>
        <v>-40.8573122574732</v>
      </c>
      <c r="O102" s="5"/>
      <c r="P102" s="2" t="n">
        <f aca="false">SQRT(C102^2+D102^2)</f>
        <v>308.697667629673</v>
      </c>
      <c r="Q102" s="2" t="n">
        <f aca="false">ATAN(F102/P102)</f>
        <v>0.713094622408344</v>
      </c>
    </row>
    <row r="103" customFormat="false" ht="15.75" hidden="false" customHeight="false" outlineLevel="0" collapsed="false">
      <c r="B103" s="1" t="s">
        <v>114</v>
      </c>
      <c r="C103" s="1" t="n">
        <v>0.6</v>
      </c>
      <c r="D103" s="10" t="n">
        <v>290.4</v>
      </c>
      <c r="E103" s="1" t="n">
        <v>198</v>
      </c>
      <c r="F103" s="0" t="n">
        <f aca="false">E103+69</f>
        <v>267</v>
      </c>
      <c r="G103" s="2"/>
      <c r="H103" s="2" t="n">
        <v>102</v>
      </c>
      <c r="I103" s="2" t="n">
        <f aca="false">C103/248.3</f>
        <v>0.00241643173580346</v>
      </c>
      <c r="J103" s="2" t="n">
        <f aca="false">D103/315</f>
        <v>0.921904761904762</v>
      </c>
      <c r="K103" s="0" t="n">
        <f aca="false">F103/366</f>
        <v>0.729508196721312</v>
      </c>
      <c r="L103" s="2"/>
      <c r="M103" s="5" t="n">
        <v>180</v>
      </c>
      <c r="N103" s="5" t="n">
        <f aca="false">(Q103/PI())*-180</f>
        <v>-42.5960380003614</v>
      </c>
      <c r="O103" s="5"/>
      <c r="P103" s="2" t="n">
        <f aca="false">SQRT(C103^2+D103^2)</f>
        <v>290.400619834049</v>
      </c>
      <c r="Q103" s="2" t="n">
        <f aca="false">ATAN(F103/P103)</f>
        <v>0.743441111410927</v>
      </c>
    </row>
    <row r="104" customFormat="false" ht="15.75" hidden="false" customHeight="false" outlineLevel="0" collapsed="false">
      <c r="B104" s="1" t="s">
        <v>115</v>
      </c>
      <c r="C104" s="1" t="n">
        <v>-99.5</v>
      </c>
      <c r="D104" s="10" t="n">
        <v>290.4</v>
      </c>
      <c r="E104" s="1" t="n">
        <v>198</v>
      </c>
      <c r="F104" s="0" t="n">
        <f aca="false">E104+69</f>
        <v>267</v>
      </c>
      <c r="G104" s="2"/>
      <c r="H104" s="2" t="n">
        <v>103</v>
      </c>
      <c r="I104" s="2" t="n">
        <f aca="false">C104/248.3</f>
        <v>-0.400724929520741</v>
      </c>
      <c r="J104" s="2" t="n">
        <f aca="false">D104/315</f>
        <v>0.921904761904762</v>
      </c>
      <c r="K104" s="0" t="n">
        <f aca="false">F104/366</f>
        <v>0.729508196721312</v>
      </c>
      <c r="L104" s="2"/>
      <c r="M104" s="5" t="n">
        <v>180</v>
      </c>
      <c r="N104" s="5" t="n">
        <f aca="false">(Q104/PI())*-180</f>
        <v>-41.0162043664289</v>
      </c>
      <c r="O104" s="5"/>
      <c r="P104" s="2" t="n">
        <f aca="false">SQRT(C104^2+D104^2)</f>
        <v>306.972979266906</v>
      </c>
      <c r="Q104" s="2" t="n">
        <f aca="false">ATAN(F104/P104)</f>
        <v>0.715867812865059</v>
      </c>
    </row>
    <row r="105" customFormat="false" ht="15.75" hidden="false" customHeight="false" outlineLevel="0" collapsed="false">
      <c r="B105" s="1" t="s">
        <v>116</v>
      </c>
      <c r="C105" s="1" t="n">
        <v>-199.7</v>
      </c>
      <c r="D105" s="10" t="n">
        <v>290.4</v>
      </c>
      <c r="E105" s="1" t="n">
        <v>198</v>
      </c>
      <c r="F105" s="0" t="n">
        <f aca="false">E105+69</f>
        <v>267</v>
      </c>
      <c r="G105" s="2"/>
      <c r="H105" s="2" t="n">
        <v>104</v>
      </c>
      <c r="I105" s="2" t="n">
        <f aca="false">C105/248.3</f>
        <v>-0.804269029399919</v>
      </c>
      <c r="J105" s="2" t="n">
        <f aca="false">D105/315</f>
        <v>0.921904761904762</v>
      </c>
      <c r="K105" s="0" t="n">
        <f aca="false">F105/366</f>
        <v>0.729508196721312</v>
      </c>
      <c r="L105" s="2"/>
      <c r="M105" s="5" t="n">
        <v>180</v>
      </c>
      <c r="N105" s="5" t="n">
        <f aca="false">(Q105/PI())*-180</f>
        <v>-37.1468758175585</v>
      </c>
      <c r="O105" s="5"/>
      <c r="P105" s="2" t="n">
        <f aca="false">SQRT(C105^2+D105^2)</f>
        <v>352.437583126431</v>
      </c>
      <c r="Q105" s="2" t="n">
        <f aca="false">ATAN(F105/P105)</f>
        <v>0.648335289845856</v>
      </c>
    </row>
    <row r="106" customFormat="false" ht="15.75" hidden="false" customHeight="false" outlineLevel="0" collapsed="false">
      <c r="A106" s="2" t="s">
        <v>117</v>
      </c>
      <c r="B106" s="1" t="s">
        <v>118</v>
      </c>
      <c r="C106" s="1" t="n">
        <v>-132</v>
      </c>
      <c r="D106" s="1" t="n">
        <v>228.1</v>
      </c>
      <c r="E106" s="1" t="n">
        <v>297</v>
      </c>
      <c r="F106" s="0" t="n">
        <f aca="false">E106+69</f>
        <v>366</v>
      </c>
      <c r="G106" s="2"/>
      <c r="H106" s="2" t="n">
        <v>105</v>
      </c>
      <c r="I106" s="2" t="n">
        <f aca="false">C106/248.3</f>
        <v>-0.531614981876762</v>
      </c>
      <c r="J106" s="2" t="n">
        <f aca="false">D106/315</f>
        <v>0.724126984126984</v>
      </c>
      <c r="K106" s="0" t="n">
        <f aca="false">F106/366</f>
        <v>1</v>
      </c>
      <c r="L106" s="2"/>
      <c r="M106" s="5" t="n">
        <v>0</v>
      </c>
      <c r="N106" s="5" t="n">
        <v>-90</v>
      </c>
      <c r="O106" s="5"/>
      <c r="P106" s="2" t="n">
        <f aca="false">SQRT(C106^2+D106^2)</f>
        <v>263.540528192534</v>
      </c>
    </row>
    <row r="107" customFormat="false" ht="15.75" hidden="false" customHeight="false" outlineLevel="0" collapsed="false">
      <c r="B107" s="1" t="s">
        <v>119</v>
      </c>
      <c r="C107" s="1" t="n">
        <v>-36</v>
      </c>
      <c r="D107" s="1" t="n">
        <v>228.1</v>
      </c>
      <c r="E107" s="1" t="n">
        <v>297</v>
      </c>
      <c r="F107" s="0" t="n">
        <f aca="false">E107+69</f>
        <v>366</v>
      </c>
      <c r="G107" s="2"/>
      <c r="H107" s="2" t="n">
        <v>106</v>
      </c>
      <c r="I107" s="2" t="n">
        <f aca="false">C107/248.3</f>
        <v>-0.144985904148208</v>
      </c>
      <c r="J107" s="2" t="n">
        <f aca="false">D107/315</f>
        <v>0.724126984126984</v>
      </c>
      <c r="K107" s="0" t="n">
        <f aca="false">F107/366</f>
        <v>1</v>
      </c>
      <c r="L107" s="2"/>
      <c r="M107" s="5" t="n">
        <v>0</v>
      </c>
      <c r="N107" s="5" t="n">
        <v>-90</v>
      </c>
      <c r="O107" s="5"/>
      <c r="P107" s="2" t="n">
        <f aca="false">SQRT(C107^2+D107^2)</f>
        <v>230.923385563264</v>
      </c>
    </row>
    <row r="108" customFormat="false" ht="15.75" hidden="false" customHeight="false" outlineLevel="0" collapsed="false">
      <c r="B108" s="1" t="s">
        <v>120</v>
      </c>
      <c r="C108" s="1" t="n">
        <v>36</v>
      </c>
      <c r="D108" s="1" t="n">
        <v>228.1</v>
      </c>
      <c r="E108" s="1" t="n">
        <v>297</v>
      </c>
      <c r="F108" s="0" t="n">
        <f aca="false">E108+69</f>
        <v>366</v>
      </c>
      <c r="G108" s="2"/>
      <c r="H108" s="2" t="n">
        <v>107</v>
      </c>
      <c r="I108" s="2" t="n">
        <f aca="false">C108/248.3</f>
        <v>0.144985904148208</v>
      </c>
      <c r="J108" s="2" t="n">
        <f aca="false">D108/315</f>
        <v>0.724126984126984</v>
      </c>
      <c r="K108" s="0" t="n">
        <f aca="false">F108/366</f>
        <v>1</v>
      </c>
      <c r="L108" s="2"/>
      <c r="M108" s="5" t="n">
        <v>0</v>
      </c>
      <c r="N108" s="5" t="n">
        <v>-90</v>
      </c>
      <c r="O108" s="5"/>
      <c r="P108" s="2" t="n">
        <f aca="false">SQRT(C108^2+D108^2)</f>
        <v>230.923385563264</v>
      </c>
    </row>
    <row r="109" customFormat="false" ht="15.75" hidden="false" customHeight="false" outlineLevel="0" collapsed="false">
      <c r="B109" s="1" t="s">
        <v>121</v>
      </c>
      <c r="C109" s="1" t="n">
        <v>132</v>
      </c>
      <c r="D109" s="1" t="n">
        <v>228.1</v>
      </c>
      <c r="E109" s="1" t="n">
        <v>297</v>
      </c>
      <c r="F109" s="0" t="n">
        <f aca="false">E109+69</f>
        <v>366</v>
      </c>
      <c r="G109" s="2"/>
      <c r="H109" s="2" t="n">
        <v>108</v>
      </c>
      <c r="I109" s="2" t="n">
        <f aca="false">C109/248.3</f>
        <v>0.531614981876762</v>
      </c>
      <c r="J109" s="2" t="n">
        <f aca="false">D109/315</f>
        <v>0.724126984126984</v>
      </c>
      <c r="K109" s="0" t="n">
        <f aca="false">F109/366</f>
        <v>1</v>
      </c>
      <c r="L109" s="2"/>
      <c r="M109" s="5" t="n">
        <v>0</v>
      </c>
      <c r="N109" s="5" t="n">
        <v>-90</v>
      </c>
      <c r="O109" s="5"/>
      <c r="P109" s="2" t="n">
        <f aca="false">SQRT(C109^2+D109^2)</f>
        <v>263.540528192534</v>
      </c>
    </row>
    <row r="110" customFormat="false" ht="15.75" hidden="false" customHeight="false" outlineLevel="0" collapsed="false">
      <c r="B110" s="1" t="s">
        <v>122</v>
      </c>
      <c r="C110" s="1" t="n">
        <v>-132</v>
      </c>
      <c r="D110" s="1" t="n">
        <v>114</v>
      </c>
      <c r="E110" s="1" t="n">
        <v>297</v>
      </c>
      <c r="F110" s="0" t="n">
        <f aca="false">E110+69</f>
        <v>366</v>
      </c>
      <c r="G110" s="2"/>
      <c r="H110" s="2" t="n">
        <v>109</v>
      </c>
      <c r="I110" s="2" t="n">
        <f aca="false">C110/248.3</f>
        <v>-0.531614981876762</v>
      </c>
      <c r="J110" s="2" t="n">
        <f aca="false">D110/315</f>
        <v>0.361904761904762</v>
      </c>
      <c r="K110" s="0" t="n">
        <f aca="false">F110/366</f>
        <v>1</v>
      </c>
      <c r="L110" s="2"/>
      <c r="M110" s="5" t="n">
        <v>0</v>
      </c>
      <c r="N110" s="5" t="n">
        <v>-90</v>
      </c>
      <c r="O110" s="5"/>
      <c r="P110" s="2" t="n">
        <f aca="false">SQRT(C110^2+D110^2)</f>
        <v>174.413302244984</v>
      </c>
    </row>
    <row r="111" customFormat="false" ht="15.75" hidden="false" customHeight="false" outlineLevel="0" collapsed="false">
      <c r="B111" s="1" t="s">
        <v>123</v>
      </c>
      <c r="C111" s="1" t="n">
        <v>-36</v>
      </c>
      <c r="D111" s="1" t="n">
        <v>114</v>
      </c>
      <c r="E111" s="1" t="n">
        <v>297</v>
      </c>
      <c r="F111" s="0" t="n">
        <f aca="false">E111+69</f>
        <v>366</v>
      </c>
      <c r="G111" s="2"/>
      <c r="H111" s="2" t="n">
        <v>110</v>
      </c>
      <c r="I111" s="2" t="n">
        <f aca="false">C111/248.3</f>
        <v>-0.144985904148208</v>
      </c>
      <c r="J111" s="2" t="n">
        <f aca="false">D111/315</f>
        <v>0.361904761904762</v>
      </c>
      <c r="K111" s="0" t="n">
        <f aca="false">F111/366</f>
        <v>1</v>
      </c>
      <c r="L111" s="2"/>
      <c r="M111" s="5" t="n">
        <v>0</v>
      </c>
      <c r="N111" s="5" t="n">
        <v>-90</v>
      </c>
      <c r="O111" s="5"/>
      <c r="P111" s="2" t="n">
        <f aca="false">SQRT(C111^2+D111^2)</f>
        <v>119.549153071028</v>
      </c>
    </row>
    <row r="112" customFormat="false" ht="15.75" hidden="false" customHeight="false" outlineLevel="0" collapsed="false">
      <c r="B112" s="1" t="s">
        <v>124</v>
      </c>
      <c r="C112" s="1" t="n">
        <v>36</v>
      </c>
      <c r="D112" s="1" t="n">
        <v>114</v>
      </c>
      <c r="E112" s="1" t="n">
        <v>297</v>
      </c>
      <c r="F112" s="0" t="n">
        <f aca="false">E112+69</f>
        <v>366</v>
      </c>
      <c r="G112" s="2"/>
      <c r="H112" s="2" t="n">
        <v>111</v>
      </c>
      <c r="I112" s="2" t="n">
        <f aca="false">C112/248.3</f>
        <v>0.144985904148208</v>
      </c>
      <c r="J112" s="2" t="n">
        <f aca="false">D112/315</f>
        <v>0.361904761904762</v>
      </c>
      <c r="K112" s="0" t="n">
        <f aca="false">F112/366</f>
        <v>1</v>
      </c>
      <c r="L112" s="2"/>
      <c r="M112" s="5" t="n">
        <v>0</v>
      </c>
      <c r="N112" s="5" t="n">
        <v>-90</v>
      </c>
      <c r="O112" s="5"/>
      <c r="P112" s="2" t="n">
        <f aca="false">SQRT(C112^2+D112^2)</f>
        <v>119.549153071028</v>
      </c>
    </row>
    <row r="113" customFormat="false" ht="15.75" hidden="false" customHeight="false" outlineLevel="0" collapsed="false">
      <c r="B113" s="1" t="s">
        <v>125</v>
      </c>
      <c r="C113" s="1" t="n">
        <v>132</v>
      </c>
      <c r="D113" s="1" t="n">
        <v>114</v>
      </c>
      <c r="E113" s="1" t="n">
        <v>297</v>
      </c>
      <c r="F113" s="0" t="n">
        <f aca="false">E113+69</f>
        <v>366</v>
      </c>
      <c r="G113" s="2"/>
      <c r="H113" s="2" t="n">
        <v>112</v>
      </c>
      <c r="I113" s="2" t="n">
        <f aca="false">C113/248.3</f>
        <v>0.531614981876762</v>
      </c>
      <c r="J113" s="2" t="n">
        <f aca="false">D113/315</f>
        <v>0.361904761904762</v>
      </c>
      <c r="K113" s="0" t="n">
        <f aca="false">F113/366</f>
        <v>1</v>
      </c>
      <c r="L113" s="2"/>
      <c r="M113" s="5" t="n">
        <v>0</v>
      </c>
      <c r="N113" s="5" t="n">
        <v>-90</v>
      </c>
      <c r="O113" s="5"/>
      <c r="P113" s="2" t="n">
        <f aca="false">SQRT(C113^2+D113^2)</f>
        <v>174.413302244984</v>
      </c>
    </row>
    <row r="114" customFormat="false" ht="15.75" hidden="false" customHeight="false" outlineLevel="0" collapsed="false">
      <c r="B114" s="1" t="s">
        <v>126</v>
      </c>
      <c r="C114" s="1" t="n">
        <v>-132</v>
      </c>
      <c r="D114" s="1" t="n">
        <v>-0.4</v>
      </c>
      <c r="E114" s="1" t="n">
        <v>297</v>
      </c>
      <c r="F114" s="0" t="n">
        <f aca="false">E114+69</f>
        <v>366</v>
      </c>
      <c r="G114" s="2"/>
      <c r="H114" s="2" t="n">
        <v>113</v>
      </c>
      <c r="I114" s="2" t="n">
        <f aca="false">C114/248.3</f>
        <v>-0.531614981876762</v>
      </c>
      <c r="J114" s="2" t="n">
        <f aca="false">D114/315</f>
        <v>-0.00126984126984127</v>
      </c>
      <c r="K114" s="0" t="n">
        <f aca="false">F114/366</f>
        <v>1</v>
      </c>
      <c r="L114" s="2"/>
      <c r="M114" s="5" t="n">
        <v>0</v>
      </c>
      <c r="N114" s="5" t="n">
        <v>-90</v>
      </c>
      <c r="O114" s="5"/>
      <c r="P114" s="2" t="n">
        <f aca="false">SQRT(C114^2+D114^2)</f>
        <v>132.000606059215</v>
      </c>
    </row>
    <row r="115" customFormat="false" ht="15.75" hidden="false" customHeight="false" outlineLevel="0" collapsed="false">
      <c r="B115" s="1" t="s">
        <v>127</v>
      </c>
      <c r="C115" s="1" t="n">
        <v>-36</v>
      </c>
      <c r="D115" s="1" t="n">
        <v>-0.4</v>
      </c>
      <c r="E115" s="1" t="n">
        <v>297</v>
      </c>
      <c r="F115" s="0" t="n">
        <f aca="false">E115+69</f>
        <v>366</v>
      </c>
      <c r="G115" s="2"/>
      <c r="H115" s="2" t="n">
        <v>114</v>
      </c>
      <c r="I115" s="2" t="n">
        <f aca="false">C115/248.3</f>
        <v>-0.144985904148208</v>
      </c>
      <c r="J115" s="2" t="n">
        <f aca="false">D115/315</f>
        <v>-0.00126984126984127</v>
      </c>
      <c r="K115" s="0" t="n">
        <f aca="false">F115/366</f>
        <v>1</v>
      </c>
      <c r="L115" s="2"/>
      <c r="M115" s="5" t="n">
        <v>0</v>
      </c>
      <c r="N115" s="5" t="n">
        <v>-90</v>
      </c>
      <c r="O115" s="5"/>
      <c r="P115" s="2" t="n">
        <f aca="false">SQRT(C115^2+D115^2)</f>
        <v>36.0022221536394</v>
      </c>
    </row>
    <row r="116" customFormat="false" ht="15.75" hidden="false" customHeight="false" outlineLevel="0" collapsed="false">
      <c r="B116" s="1" t="s">
        <v>128</v>
      </c>
      <c r="C116" s="1" t="n">
        <v>36</v>
      </c>
      <c r="D116" s="1" t="n">
        <v>-0.4</v>
      </c>
      <c r="E116" s="1" t="n">
        <v>297</v>
      </c>
      <c r="F116" s="0" t="n">
        <f aca="false">E116+69</f>
        <v>366</v>
      </c>
      <c r="G116" s="2"/>
      <c r="H116" s="2" t="n">
        <v>115</v>
      </c>
      <c r="I116" s="2" t="n">
        <f aca="false">C116/248.3</f>
        <v>0.144985904148208</v>
      </c>
      <c r="J116" s="2" t="n">
        <f aca="false">D116/315</f>
        <v>-0.00126984126984127</v>
      </c>
      <c r="K116" s="0" t="n">
        <f aca="false">F116/366</f>
        <v>1</v>
      </c>
      <c r="L116" s="2"/>
      <c r="M116" s="5" t="n">
        <v>0</v>
      </c>
      <c r="N116" s="5" t="n">
        <v>-90</v>
      </c>
      <c r="O116" s="5"/>
      <c r="P116" s="2" t="n">
        <f aca="false">SQRT(C116^2+D116^2)</f>
        <v>36.0022221536394</v>
      </c>
    </row>
    <row r="117" customFormat="false" ht="15.75" hidden="false" customHeight="false" outlineLevel="0" collapsed="false">
      <c r="B117" s="1" t="s">
        <v>129</v>
      </c>
      <c r="C117" s="1" t="n">
        <v>132</v>
      </c>
      <c r="D117" s="1" t="n">
        <v>-0.4</v>
      </c>
      <c r="E117" s="1" t="n">
        <v>297</v>
      </c>
      <c r="F117" s="0" t="n">
        <f aca="false">E117+69</f>
        <v>366</v>
      </c>
      <c r="G117" s="2"/>
      <c r="H117" s="2" t="n">
        <v>116</v>
      </c>
      <c r="I117" s="2" t="n">
        <f aca="false">C117/248.3</f>
        <v>0.531614981876762</v>
      </c>
      <c r="J117" s="2" t="n">
        <f aca="false">D117/315</f>
        <v>-0.00126984126984127</v>
      </c>
      <c r="K117" s="0" t="n">
        <f aca="false">F117/366</f>
        <v>1</v>
      </c>
      <c r="L117" s="2"/>
      <c r="M117" s="5" t="n">
        <v>0</v>
      </c>
      <c r="N117" s="5" t="n">
        <v>-90</v>
      </c>
      <c r="O117" s="5"/>
      <c r="P117" s="2" t="n">
        <f aca="false">SQRT(C117^2+D117^2)</f>
        <v>132.000606059215</v>
      </c>
    </row>
    <row r="118" customFormat="false" ht="15.75" hidden="false" customHeight="false" outlineLevel="0" collapsed="false">
      <c r="B118" s="1" t="s">
        <v>130</v>
      </c>
      <c r="C118" s="1" t="n">
        <v>-132</v>
      </c>
      <c r="D118" s="1" t="n">
        <v>-114</v>
      </c>
      <c r="E118" s="1" t="n">
        <v>297</v>
      </c>
      <c r="F118" s="0" t="n">
        <f aca="false">E118+69</f>
        <v>366</v>
      </c>
      <c r="G118" s="2"/>
      <c r="H118" s="2" t="n">
        <v>117</v>
      </c>
      <c r="I118" s="2" t="n">
        <f aca="false">C118/248.3</f>
        <v>-0.531614981876762</v>
      </c>
      <c r="J118" s="2" t="n">
        <f aca="false">D118/315</f>
        <v>-0.361904761904762</v>
      </c>
      <c r="K118" s="0" t="n">
        <f aca="false">F118/366</f>
        <v>1</v>
      </c>
      <c r="L118" s="2"/>
      <c r="M118" s="5" t="n">
        <v>0</v>
      </c>
      <c r="N118" s="5" t="n">
        <v>-90</v>
      </c>
      <c r="O118" s="5"/>
      <c r="P118" s="2" t="n">
        <f aca="false">SQRT(C118^2+D118^2)</f>
        <v>174.413302244984</v>
      </c>
    </row>
    <row r="119" customFormat="false" ht="15.75" hidden="false" customHeight="false" outlineLevel="0" collapsed="false">
      <c r="B119" s="1" t="s">
        <v>131</v>
      </c>
      <c r="C119" s="1" t="n">
        <v>-36</v>
      </c>
      <c r="D119" s="1" t="n">
        <v>-114</v>
      </c>
      <c r="E119" s="1" t="n">
        <v>297</v>
      </c>
      <c r="F119" s="0" t="n">
        <f aca="false">E119+69</f>
        <v>366</v>
      </c>
      <c r="G119" s="2"/>
      <c r="H119" s="2" t="n">
        <v>118</v>
      </c>
      <c r="I119" s="2" t="n">
        <f aca="false">C119/248.3</f>
        <v>-0.144985904148208</v>
      </c>
      <c r="J119" s="2" t="n">
        <f aca="false">D119/315</f>
        <v>-0.361904761904762</v>
      </c>
      <c r="K119" s="0" t="n">
        <f aca="false">F119/366</f>
        <v>1</v>
      </c>
      <c r="L119" s="2"/>
      <c r="M119" s="5" t="n">
        <v>0</v>
      </c>
      <c r="N119" s="5" t="n">
        <v>-90</v>
      </c>
      <c r="O119" s="5"/>
      <c r="P119" s="2" t="n">
        <f aca="false">SQRT(C119^2+D119^2)</f>
        <v>119.549153071028</v>
      </c>
    </row>
    <row r="120" customFormat="false" ht="15.75" hidden="false" customHeight="false" outlineLevel="0" collapsed="false">
      <c r="B120" s="1" t="s">
        <v>132</v>
      </c>
      <c r="C120" s="1" t="n">
        <v>36</v>
      </c>
      <c r="D120" s="1" t="n">
        <v>-114</v>
      </c>
      <c r="E120" s="1" t="n">
        <v>297</v>
      </c>
      <c r="F120" s="0" t="n">
        <f aca="false">E120+69</f>
        <v>366</v>
      </c>
      <c r="G120" s="2"/>
      <c r="H120" s="2" t="n">
        <v>119</v>
      </c>
      <c r="I120" s="2" t="n">
        <f aca="false">C120/248.3</f>
        <v>0.144985904148208</v>
      </c>
      <c r="J120" s="2" t="n">
        <f aca="false">D120/315</f>
        <v>-0.361904761904762</v>
      </c>
      <c r="K120" s="0" t="n">
        <f aca="false">F120/366</f>
        <v>1</v>
      </c>
      <c r="L120" s="2"/>
      <c r="M120" s="5" t="n">
        <v>0</v>
      </c>
      <c r="N120" s="5" t="n">
        <v>-90</v>
      </c>
      <c r="O120" s="5"/>
      <c r="P120" s="2" t="n">
        <f aca="false">SQRT(C120^2+D120^2)</f>
        <v>119.549153071028</v>
      </c>
    </row>
    <row r="121" customFormat="false" ht="15.75" hidden="false" customHeight="false" outlineLevel="0" collapsed="false">
      <c r="B121" s="1" t="s">
        <v>133</v>
      </c>
      <c r="C121" s="1" t="n">
        <v>132</v>
      </c>
      <c r="D121" s="1" t="n">
        <v>-114</v>
      </c>
      <c r="E121" s="1" t="n">
        <v>297</v>
      </c>
      <c r="F121" s="0" t="n">
        <f aca="false">E121+69</f>
        <v>366</v>
      </c>
      <c r="G121" s="2"/>
      <c r="H121" s="2" t="n">
        <v>120</v>
      </c>
      <c r="I121" s="2" t="n">
        <f aca="false">C121/248.3</f>
        <v>0.531614981876762</v>
      </c>
      <c r="J121" s="2" t="n">
        <f aca="false">D121/315</f>
        <v>-0.361904761904762</v>
      </c>
      <c r="K121" s="0" t="n">
        <f aca="false">F121/366</f>
        <v>1</v>
      </c>
      <c r="L121" s="2"/>
      <c r="M121" s="5" t="n">
        <v>0</v>
      </c>
      <c r="N121" s="5" t="n">
        <v>-90</v>
      </c>
      <c r="O121" s="5"/>
      <c r="P121" s="2" t="n">
        <f aca="false">SQRT(C121^2+D121^2)</f>
        <v>174.413302244984</v>
      </c>
    </row>
    <row r="122" customFormat="false" ht="15.75" hidden="false" customHeight="false" outlineLevel="0" collapsed="false">
      <c r="B122" s="1" t="s">
        <v>134</v>
      </c>
      <c r="C122" s="1" t="n">
        <v>-132</v>
      </c>
      <c r="D122" s="1" t="n">
        <v>-228.8</v>
      </c>
      <c r="E122" s="1" t="n">
        <v>297</v>
      </c>
      <c r="F122" s="0" t="n">
        <f aca="false">E122+69</f>
        <v>366</v>
      </c>
      <c r="G122" s="2"/>
      <c r="H122" s="2" t="n">
        <v>121</v>
      </c>
      <c r="I122" s="2" t="n">
        <f aca="false">C122/248.3</f>
        <v>-0.531614981876762</v>
      </c>
      <c r="J122" s="2" t="n">
        <f aca="false">D122/315</f>
        <v>-0.726349206349206</v>
      </c>
      <c r="K122" s="0" t="n">
        <f aca="false">F122/366</f>
        <v>1</v>
      </c>
      <c r="L122" s="2"/>
      <c r="M122" s="5" t="n">
        <v>0</v>
      </c>
      <c r="N122" s="5" t="n">
        <v>-90</v>
      </c>
      <c r="O122" s="5"/>
      <c r="P122" s="2" t="n">
        <f aca="false">SQRT(C122^2+D122^2)</f>
        <v>264.146625948544</v>
      </c>
    </row>
    <row r="123" customFormat="false" ht="15.75" hidden="false" customHeight="false" outlineLevel="0" collapsed="false">
      <c r="B123" s="1" t="s">
        <v>135</v>
      </c>
      <c r="C123" s="1" t="n">
        <v>-36</v>
      </c>
      <c r="D123" s="1" t="n">
        <v>-228.8</v>
      </c>
      <c r="E123" s="1" t="n">
        <v>297</v>
      </c>
      <c r="F123" s="0" t="n">
        <f aca="false">E123+69</f>
        <v>366</v>
      </c>
      <c r="G123" s="2"/>
      <c r="H123" s="2" t="n">
        <v>122</v>
      </c>
      <c r="I123" s="2" t="n">
        <f aca="false">C123/248.3</f>
        <v>-0.144985904148208</v>
      </c>
      <c r="J123" s="2" t="n">
        <f aca="false">D123/315</f>
        <v>-0.726349206349206</v>
      </c>
      <c r="K123" s="0" t="n">
        <f aca="false">F123/366</f>
        <v>1</v>
      </c>
      <c r="L123" s="2"/>
      <c r="M123" s="5" t="n">
        <v>0</v>
      </c>
      <c r="N123" s="5" t="n">
        <v>-90</v>
      </c>
      <c r="O123" s="5"/>
      <c r="P123" s="2" t="n">
        <f aca="false">SQRT(C123^2+D123^2)</f>
        <v>231.614852718905</v>
      </c>
    </row>
    <row r="124" customFormat="false" ht="15.75" hidden="false" customHeight="false" outlineLevel="0" collapsed="false">
      <c r="B124" s="1" t="s">
        <v>136</v>
      </c>
      <c r="C124" s="1" t="n">
        <v>36</v>
      </c>
      <c r="D124" s="1" t="n">
        <v>-228.8</v>
      </c>
      <c r="E124" s="1" t="n">
        <v>297</v>
      </c>
      <c r="F124" s="0" t="n">
        <f aca="false">E124+69</f>
        <v>366</v>
      </c>
      <c r="G124" s="2"/>
      <c r="H124" s="2" t="n">
        <v>123</v>
      </c>
      <c r="I124" s="2" t="n">
        <f aca="false">C124/248.3</f>
        <v>0.144985904148208</v>
      </c>
      <c r="J124" s="2" t="n">
        <f aca="false">D124/315</f>
        <v>-0.726349206349206</v>
      </c>
      <c r="K124" s="0" t="n">
        <f aca="false">F124/366</f>
        <v>1</v>
      </c>
      <c r="L124" s="2"/>
      <c r="M124" s="5" t="n">
        <v>0</v>
      </c>
      <c r="N124" s="5" t="n">
        <v>-90</v>
      </c>
      <c r="O124" s="5"/>
      <c r="P124" s="2" t="n">
        <f aca="false">SQRT(C124^2+D124^2)</f>
        <v>231.614852718905</v>
      </c>
    </row>
    <row r="125" customFormat="false" ht="15.75" hidden="false" customHeight="false" outlineLevel="0" collapsed="false">
      <c r="B125" s="1" t="s">
        <v>137</v>
      </c>
      <c r="C125" s="1" t="n">
        <v>132</v>
      </c>
      <c r="D125" s="1" t="n">
        <v>-228.8</v>
      </c>
      <c r="E125" s="1" t="n">
        <v>297</v>
      </c>
      <c r="F125" s="0" t="n">
        <f aca="false">E125+69</f>
        <v>366</v>
      </c>
      <c r="G125" s="2"/>
      <c r="H125" s="2" t="n">
        <v>124</v>
      </c>
      <c r="I125" s="2" t="n">
        <f aca="false">C125/248.3</f>
        <v>0.531614981876762</v>
      </c>
      <c r="J125" s="2" t="n">
        <f aca="false">D125/315</f>
        <v>-0.726349206349206</v>
      </c>
      <c r="K125" s="0" t="n">
        <f aca="false">F125/366</f>
        <v>1</v>
      </c>
      <c r="L125" s="2"/>
      <c r="M125" s="5" t="n">
        <v>0</v>
      </c>
      <c r="N125" s="5" t="n">
        <v>-90</v>
      </c>
      <c r="O125" s="5"/>
      <c r="P125" s="2" t="n">
        <f aca="false">SQRT(C125^2+D125^2)</f>
        <v>264.146625948544</v>
      </c>
    </row>
    <row r="126" customFormat="false" ht="15.75" hidden="false" customHeight="false" outlineLevel="0" collapsed="false">
      <c r="A126" s="2" t="s">
        <v>138</v>
      </c>
      <c r="B126" s="11" t="s">
        <v>139</v>
      </c>
      <c r="C126" s="12" t="n">
        <v>-248</v>
      </c>
      <c r="D126" s="12" t="n">
        <v>-161</v>
      </c>
      <c r="E126" s="11" t="n">
        <v>-45</v>
      </c>
      <c r="F126" s="11" t="n">
        <v>32</v>
      </c>
      <c r="G126" s="11"/>
      <c r="H126" s="11" t="n">
        <v>125</v>
      </c>
      <c r="I126" s="11" t="n">
        <f aca="false">C126/248.3</f>
        <v>-0.998791784132098</v>
      </c>
      <c r="J126" s="11" t="n">
        <f aca="false">D126/315</f>
        <v>-0.511111111111111</v>
      </c>
      <c r="K126" s="11" t="n">
        <f aca="false">F126/366</f>
        <v>0.087431693989071</v>
      </c>
      <c r="L126" s="2"/>
      <c r="M126" s="5" t="n">
        <v>90</v>
      </c>
      <c r="N126" s="5" t="n">
        <f aca="false">(Q126/PI())*-180</f>
        <v>-0</v>
      </c>
      <c r="O126" s="5"/>
      <c r="P126" s="2" t="n">
        <f aca="false">SQRT(C126^2+D126^2)</f>
        <v>295.67718883945</v>
      </c>
    </row>
    <row r="127" customFormat="false" ht="15.75" hidden="false" customHeight="false" outlineLevel="0" collapsed="false">
      <c r="B127" s="11" t="s">
        <v>140</v>
      </c>
      <c r="C127" s="12" t="n">
        <v>-248</v>
      </c>
      <c r="D127" s="12" t="n">
        <v>189</v>
      </c>
      <c r="E127" s="11" t="n">
        <v>-45</v>
      </c>
      <c r="F127" s="11" t="n">
        <v>32</v>
      </c>
      <c r="G127" s="11"/>
      <c r="H127" s="11" t="n">
        <v>126</v>
      </c>
      <c r="I127" s="11" t="n">
        <f aca="false">C127/248.3</f>
        <v>-0.998791784132098</v>
      </c>
      <c r="J127" s="11" t="n">
        <f aca="false">D127/315</f>
        <v>0.6</v>
      </c>
      <c r="K127" s="11" t="n">
        <f aca="false">F127/366</f>
        <v>0.087431693989071</v>
      </c>
      <c r="L127" s="2"/>
      <c r="M127" s="5" t="n">
        <v>90</v>
      </c>
      <c r="N127" s="5" t="n">
        <f aca="false">(Q127/PI())*-180</f>
        <v>-0</v>
      </c>
      <c r="O127" s="5"/>
      <c r="P127" s="2" t="n">
        <f aca="false">SQRT(C127^2+D127^2)</f>
        <v>311.809236553377</v>
      </c>
    </row>
    <row r="128" customFormat="false" ht="15.75" hidden="false" customHeight="false" outlineLevel="0" collapsed="false">
      <c r="B128" s="2" t="s">
        <v>141</v>
      </c>
      <c r="C128" s="13" t="n">
        <v>-94</v>
      </c>
      <c r="D128" s="13" t="n">
        <v>-295</v>
      </c>
      <c r="E128" s="2" t="n">
        <v>-45</v>
      </c>
      <c r="F128" s="2" t="n">
        <v>32</v>
      </c>
      <c r="G128" s="2"/>
      <c r="H128" s="11" t="n">
        <v>127</v>
      </c>
      <c r="I128" s="2" t="n">
        <f aca="false">C128/248.3</f>
        <v>-0.378574305275876</v>
      </c>
      <c r="J128" s="2" t="n">
        <f aca="false">D128/315</f>
        <v>-0.936507936507937</v>
      </c>
      <c r="K128" s="0" t="n">
        <f aca="false">F128/366</f>
        <v>0.087431693989071</v>
      </c>
      <c r="L128" s="2"/>
      <c r="M128" s="5" t="n">
        <v>0</v>
      </c>
      <c r="N128" s="5" t="n">
        <f aca="false">(Q128/PI())*-180</f>
        <v>-0</v>
      </c>
      <c r="O128" s="5"/>
      <c r="P128" s="2" t="n">
        <f aca="false">SQRT(C128^2+D128^2)</f>
        <v>309.61427615664</v>
      </c>
    </row>
    <row r="129" customFormat="false" ht="15.75" hidden="false" customHeight="false" outlineLevel="0" collapsed="false">
      <c r="B129" s="2" t="s">
        <v>142</v>
      </c>
      <c r="C129" s="13" t="n">
        <v>-94</v>
      </c>
      <c r="D129" s="13" t="n">
        <v>295</v>
      </c>
      <c r="E129" s="2" t="n">
        <v>-45</v>
      </c>
      <c r="F129" s="2" t="n">
        <v>32</v>
      </c>
      <c r="G129" s="2"/>
      <c r="H129" s="11" t="n">
        <v>128</v>
      </c>
      <c r="I129" s="2" t="n">
        <f aca="false">C129/248.3</f>
        <v>-0.378574305275876</v>
      </c>
      <c r="J129" s="2" t="n">
        <f aca="false">D129/315</f>
        <v>0.936507936507937</v>
      </c>
      <c r="K129" s="0" t="n">
        <f aca="false">F129/366</f>
        <v>0.087431693989071</v>
      </c>
      <c r="L129" s="2"/>
      <c r="M129" s="5" t="n">
        <v>180</v>
      </c>
      <c r="N129" s="5" t="n">
        <f aca="false">(Q129/PI())*-180</f>
        <v>-0</v>
      </c>
      <c r="O129" s="5"/>
      <c r="P129" s="2" t="n">
        <f aca="false">SQRT(C129^2+D129^2)</f>
        <v>309.61427615664</v>
      </c>
    </row>
    <row r="130" customFormat="false" ht="15.75" hidden="false" customHeight="false" outlineLevel="0" collapsed="false">
      <c r="B130" s="2" t="s">
        <v>143</v>
      </c>
      <c r="C130" s="13" t="n">
        <v>126</v>
      </c>
      <c r="D130" s="13" t="n">
        <v>-295</v>
      </c>
      <c r="E130" s="2" t="n">
        <v>-45</v>
      </c>
      <c r="F130" s="2" t="n">
        <v>32</v>
      </c>
      <c r="G130" s="2"/>
      <c r="H130" s="11" t="n">
        <v>129</v>
      </c>
      <c r="I130" s="2" t="n">
        <f aca="false">C130/248.3</f>
        <v>0.507450664518727</v>
      </c>
      <c r="J130" s="2" t="n">
        <f aca="false">D130/315</f>
        <v>-0.936507936507937</v>
      </c>
      <c r="K130" s="0" t="n">
        <f aca="false">F130/366</f>
        <v>0.087431693989071</v>
      </c>
      <c r="L130" s="2"/>
      <c r="M130" s="5" t="n">
        <v>0</v>
      </c>
      <c r="N130" s="5" t="n">
        <f aca="false">(Q130/PI())*-180</f>
        <v>-0</v>
      </c>
      <c r="O130" s="5"/>
      <c r="P130" s="2" t="n">
        <f aca="false">SQRT(C130^2+D130^2)</f>
        <v>320.781857342338</v>
      </c>
    </row>
    <row r="131" customFormat="false" ht="15.75" hidden="false" customHeight="false" outlineLevel="0" collapsed="false">
      <c r="B131" s="2" t="s">
        <v>144</v>
      </c>
      <c r="C131" s="13" t="n">
        <v>126</v>
      </c>
      <c r="D131" s="13" t="n">
        <v>295</v>
      </c>
      <c r="E131" s="2" t="n">
        <v>-45</v>
      </c>
      <c r="F131" s="2" t="n">
        <v>32</v>
      </c>
      <c r="G131" s="2"/>
      <c r="H131" s="11" t="n">
        <v>130</v>
      </c>
      <c r="I131" s="2" t="n">
        <f aca="false">C131/248.3</f>
        <v>0.507450664518727</v>
      </c>
      <c r="J131" s="2" t="n">
        <f aca="false">D131/315</f>
        <v>0.936507936507937</v>
      </c>
      <c r="K131" s="0" t="n">
        <f aca="false">F131/366</f>
        <v>0.087431693989071</v>
      </c>
      <c r="L131" s="2"/>
      <c r="M131" s="5" t="n">
        <v>180</v>
      </c>
      <c r="N131" s="5" t="n">
        <f aca="false">(Q131/PI())*-180</f>
        <v>-0</v>
      </c>
      <c r="O131" s="5"/>
      <c r="P131" s="2" t="n">
        <f aca="false">SQRT(C131^2+D131^2)</f>
        <v>320.781857342338</v>
      </c>
    </row>
    <row r="132" customFormat="false" ht="15.75" hidden="false" customHeight="false" outlineLevel="0" collapsed="false">
      <c r="B132" s="2" t="s">
        <v>145</v>
      </c>
      <c r="C132" s="13" t="n">
        <v>248</v>
      </c>
      <c r="D132" s="13" t="n">
        <v>-161</v>
      </c>
      <c r="E132" s="2" t="n">
        <v>-45</v>
      </c>
      <c r="F132" s="2" t="n">
        <v>32</v>
      </c>
      <c r="G132" s="2"/>
      <c r="H132" s="11" t="n">
        <v>131</v>
      </c>
      <c r="I132" s="2" t="n">
        <f aca="false">C132/248.3</f>
        <v>0.998791784132098</v>
      </c>
      <c r="J132" s="2" t="n">
        <f aca="false">D132/315</f>
        <v>-0.511111111111111</v>
      </c>
      <c r="K132" s="0" t="n">
        <f aca="false">F132/366</f>
        <v>0.087431693989071</v>
      </c>
      <c r="L132" s="2"/>
      <c r="M132" s="5" t="n">
        <v>270</v>
      </c>
      <c r="N132" s="5" t="n">
        <f aca="false">(Q132/PI())*-180</f>
        <v>-0</v>
      </c>
      <c r="O132" s="5"/>
      <c r="P132" s="2" t="n">
        <f aca="false">SQRT(C132^2+D132^2)</f>
        <v>295.67718883945</v>
      </c>
    </row>
    <row r="133" customFormat="false" ht="15.75" hidden="false" customHeight="false" outlineLevel="0" collapsed="false">
      <c r="B133" s="2" t="s">
        <v>146</v>
      </c>
      <c r="C133" s="13" t="n">
        <v>248</v>
      </c>
      <c r="D133" s="13" t="n">
        <v>189</v>
      </c>
      <c r="E133" s="2" t="n">
        <v>-45</v>
      </c>
      <c r="F133" s="2" t="n">
        <v>32</v>
      </c>
      <c r="G133" s="2"/>
      <c r="H133" s="11" t="n">
        <v>132</v>
      </c>
      <c r="I133" s="2" t="n">
        <f aca="false">C133/248.3</f>
        <v>0.998791784132098</v>
      </c>
      <c r="J133" s="2" t="n">
        <f aca="false">D133/315</f>
        <v>0.6</v>
      </c>
      <c r="K133" s="0" t="n">
        <f aca="false">F133/366</f>
        <v>0.087431693989071</v>
      </c>
      <c r="L133" s="2"/>
      <c r="M133" s="5" t="n">
        <v>270</v>
      </c>
      <c r="N133" s="5" t="n">
        <f aca="false">(Q133/PI())*-180</f>
        <v>-0</v>
      </c>
      <c r="O133" s="5"/>
      <c r="P133" s="2" t="n">
        <f aca="false">SQRT(C133^2+D133^2)</f>
        <v>311.809236553377</v>
      </c>
    </row>
    <row r="134" customFormat="false" ht="15.75" hidden="false" customHeight="false" outlineLevel="0" collapsed="false">
      <c r="B134" s="11" t="s">
        <v>147</v>
      </c>
      <c r="C134" s="12" t="n">
        <v>-248</v>
      </c>
      <c r="D134" s="12" t="n">
        <v>0</v>
      </c>
      <c r="E134" s="11" t="n">
        <v>-45</v>
      </c>
      <c r="F134" s="11" t="n">
        <v>32</v>
      </c>
      <c r="G134" s="11"/>
      <c r="H134" s="11" t="n">
        <v>133</v>
      </c>
      <c r="I134" s="11" t="n">
        <f aca="false">C134/248.3</f>
        <v>-0.998791784132098</v>
      </c>
      <c r="J134" s="11" t="n">
        <f aca="false">D134/315</f>
        <v>0</v>
      </c>
      <c r="K134" s="11" t="n">
        <f aca="false">F134/366</f>
        <v>0.087431693989071</v>
      </c>
      <c r="L134" s="2"/>
      <c r="M134" s="5" t="n">
        <v>90</v>
      </c>
      <c r="N134" s="5" t="n">
        <f aca="false">(Q134/PI())*-180</f>
        <v>-0</v>
      </c>
      <c r="O134" s="5"/>
      <c r="P134" s="2" t="n">
        <f aca="false">SQRT(C134^2+D134^2)</f>
        <v>248</v>
      </c>
    </row>
    <row r="135" customFormat="false" ht="15.75" hidden="false" customHeight="false" outlineLevel="0" collapsed="false">
      <c r="B135" s="2" t="s">
        <v>148</v>
      </c>
      <c r="C135" s="13" t="n">
        <v>248</v>
      </c>
      <c r="D135" s="13" t="n">
        <v>0</v>
      </c>
      <c r="E135" s="2" t="n">
        <v>-45</v>
      </c>
      <c r="F135" s="2" t="n">
        <v>32</v>
      </c>
      <c r="G135" s="2"/>
      <c r="H135" s="11" t="n">
        <v>134</v>
      </c>
      <c r="I135" s="2" t="n">
        <f aca="false">C135/248.3</f>
        <v>0.998791784132098</v>
      </c>
      <c r="J135" s="2" t="n">
        <f aca="false">D135/315</f>
        <v>0</v>
      </c>
      <c r="K135" s="0" t="n">
        <f aca="false">F135/366</f>
        <v>0.087431693989071</v>
      </c>
      <c r="L135" s="2"/>
      <c r="M135" s="5" t="n">
        <v>270</v>
      </c>
      <c r="N135" s="5" t="n">
        <f aca="false">(Q135/PI())*-180</f>
        <v>-0</v>
      </c>
      <c r="O135" s="5"/>
      <c r="P135" s="2" t="n">
        <f aca="false">SQRT(C135^2+D135^2)</f>
        <v>248</v>
      </c>
    </row>
    <row r="136" customFormat="false" ht="15.75" hidden="false" customHeight="false" outlineLevel="0" collapsed="false">
      <c r="A136" s="2" t="s">
        <v>149</v>
      </c>
      <c r="B136" s="2" t="s">
        <v>150</v>
      </c>
      <c r="C136" s="13" t="n">
        <v>-200</v>
      </c>
      <c r="D136" s="13" t="n">
        <v>-269</v>
      </c>
      <c r="F136" s="2" t="n">
        <v>12</v>
      </c>
    </row>
    <row r="137" customFormat="false" ht="15.75" hidden="false" customHeight="false" outlineLevel="0" collapsed="false">
      <c r="B137" s="2" t="s">
        <v>151</v>
      </c>
      <c r="C137" s="2" t="n">
        <v>-200</v>
      </c>
      <c r="D137" s="2" t="n">
        <v>269</v>
      </c>
      <c r="F137" s="2" t="n">
        <v>12</v>
      </c>
    </row>
    <row r="138" customFormat="false" ht="15.75" hidden="false" customHeight="true" outlineLevel="0" collapsed="false">
      <c r="A138" s="0" t="s">
        <v>152</v>
      </c>
      <c r="B138" s="0" t="s">
        <v>153</v>
      </c>
      <c r="C138" s="0" t="n">
        <f aca="false">-142/2</f>
        <v>-71</v>
      </c>
      <c r="D138" s="0" t="n">
        <f aca="false">58.5/2</f>
        <v>29.25</v>
      </c>
      <c r="F138" s="0" t="n">
        <f aca="false">12*16</f>
        <v>192</v>
      </c>
      <c r="H138" s="14" t="n">
        <v>135</v>
      </c>
      <c r="I138" s="2" t="n">
        <f aca="false">C138/248.3</f>
        <v>-0.285944422070077</v>
      </c>
      <c r="J138" s="2" t="n">
        <f aca="false">D138/315</f>
        <v>0.0928571428571429</v>
      </c>
      <c r="K138" s="0" t="n">
        <f aca="false">F138/366</f>
        <v>0.524590163934426</v>
      </c>
    </row>
    <row r="139" customFormat="false" ht="15.75" hidden="false" customHeight="true" outlineLevel="0" collapsed="false">
      <c r="B139" s="0" t="s">
        <v>154</v>
      </c>
      <c r="C139" s="0" t="n">
        <v>-71</v>
      </c>
      <c r="D139" s="0" t="n">
        <f aca="false">-58.5/2</f>
        <v>-29.25</v>
      </c>
      <c r="F139" s="0" t="n">
        <f aca="false">12*16</f>
        <v>192</v>
      </c>
      <c r="H139" s="14" t="n">
        <v>136</v>
      </c>
      <c r="I139" s="2" t="n">
        <f aca="false">C139/248.3</f>
        <v>-0.285944422070077</v>
      </c>
      <c r="J139" s="15" t="n">
        <f aca="false">D139/315</f>
        <v>-0.0928571428571429</v>
      </c>
      <c r="K139" s="0" t="n">
        <f aca="false">F139/366</f>
        <v>0.524590163934426</v>
      </c>
    </row>
    <row r="140" customFormat="false" ht="15.75" hidden="false" customHeight="true" outlineLevel="0" collapsed="false">
      <c r="B140" s="0" t="s">
        <v>155</v>
      </c>
      <c r="C140" s="0" t="n">
        <v>-30</v>
      </c>
      <c r="D140" s="0" t="n">
        <f aca="false">-141/2</f>
        <v>-70.5</v>
      </c>
      <c r="F140" s="0" t="n">
        <f aca="false">12*16</f>
        <v>192</v>
      </c>
      <c r="H140" s="14" t="n">
        <v>137</v>
      </c>
      <c r="I140" s="2" t="n">
        <f aca="false">C140/248.3</f>
        <v>-0.120821586790173</v>
      </c>
      <c r="J140" s="15" t="n">
        <f aca="false">D140/315</f>
        <v>-0.223809523809524</v>
      </c>
      <c r="K140" s="0" t="n">
        <f aca="false">F140/366</f>
        <v>0.524590163934426</v>
      </c>
    </row>
    <row r="141" customFormat="false" ht="15.75" hidden="false" customHeight="true" outlineLevel="0" collapsed="false">
      <c r="B141" s="0" t="s">
        <v>156</v>
      </c>
      <c r="C141" s="0" t="n">
        <v>30</v>
      </c>
      <c r="D141" s="0" t="n">
        <f aca="false">-141/2</f>
        <v>-70.5</v>
      </c>
      <c r="F141" s="0" t="n">
        <f aca="false">12*16</f>
        <v>192</v>
      </c>
      <c r="H141" s="14" t="n">
        <v>138</v>
      </c>
      <c r="I141" s="2" t="n">
        <f aca="false">C141/248.3</f>
        <v>0.120821586790173</v>
      </c>
      <c r="J141" s="15" t="n">
        <f aca="false">D141/315</f>
        <v>-0.223809523809524</v>
      </c>
      <c r="K141" s="0" t="n">
        <f aca="false">F141/366</f>
        <v>0.524590163934426</v>
      </c>
    </row>
    <row r="142" customFormat="false" ht="15.75" hidden="false" customHeight="true" outlineLevel="0" collapsed="false">
      <c r="B142" s="0" t="s">
        <v>157</v>
      </c>
      <c r="C142" s="0" t="n">
        <v>71</v>
      </c>
      <c r="D142" s="0" t="n">
        <f aca="false">-58.5/2</f>
        <v>-29.25</v>
      </c>
      <c r="F142" s="0" t="n">
        <f aca="false">12*16</f>
        <v>192</v>
      </c>
      <c r="H142" s="14" t="n">
        <v>139</v>
      </c>
      <c r="I142" s="2" t="n">
        <f aca="false">C142/248.3</f>
        <v>0.285944422070077</v>
      </c>
      <c r="J142" s="15" t="n">
        <f aca="false">D142/315</f>
        <v>-0.0928571428571429</v>
      </c>
      <c r="K142" s="15" t="n">
        <f aca="false">F142/366</f>
        <v>0.524590163934426</v>
      </c>
    </row>
    <row r="143" customFormat="false" ht="12.8" hidden="false" customHeight="false" outlineLevel="0" collapsed="false">
      <c r="B143" s="0" t="s">
        <v>158</v>
      </c>
      <c r="C143" s="0" t="n">
        <v>71</v>
      </c>
      <c r="D143" s="0" t="n">
        <f aca="false">58.5/2</f>
        <v>29.25</v>
      </c>
      <c r="E143" s="13" t="n">
        <v>-45</v>
      </c>
      <c r="F143" s="0" t="n">
        <f aca="false">12*16</f>
        <v>192</v>
      </c>
      <c r="H143" s="14" t="n">
        <v>140</v>
      </c>
      <c r="I143" s="2" t="n">
        <f aca="false">C143/248.3</f>
        <v>0.285944422070077</v>
      </c>
      <c r="J143" s="15" t="n">
        <f aca="false">D143/315</f>
        <v>0.0928571428571429</v>
      </c>
      <c r="K143" s="0" t="n">
        <f aca="false">F143/366</f>
        <v>0.524590163934426</v>
      </c>
    </row>
    <row r="144" customFormat="false" ht="12.8" hidden="false" customHeight="false" outlineLevel="0" collapsed="false">
      <c r="B144" s="0" t="s">
        <v>159</v>
      </c>
      <c r="C144" s="0" t="n">
        <v>30</v>
      </c>
      <c r="D144" s="0" t="n">
        <f aca="false">141/2</f>
        <v>70.5</v>
      </c>
      <c r="E144" s="13" t="n">
        <v>-45</v>
      </c>
      <c r="F144" s="0" t="n">
        <f aca="false">12*16</f>
        <v>192</v>
      </c>
      <c r="H144" s="14" t="n">
        <v>141</v>
      </c>
      <c r="I144" s="2" t="n">
        <f aca="false">C144/248.3</f>
        <v>0.120821586790173</v>
      </c>
      <c r="J144" s="15" t="n">
        <f aca="false">D144/315</f>
        <v>0.223809523809524</v>
      </c>
      <c r="K144" s="0" t="n">
        <f aca="false">F144/366</f>
        <v>0.524590163934426</v>
      </c>
    </row>
    <row r="145" customFormat="false" ht="12.8" hidden="false" customHeight="false" outlineLevel="0" collapsed="false">
      <c r="B145" s="0" t="s">
        <v>160</v>
      </c>
      <c r="C145" s="0" t="n">
        <v>-30</v>
      </c>
      <c r="D145" s="0" t="n">
        <f aca="false">141/2</f>
        <v>70.5</v>
      </c>
      <c r="E145" s="13" t="n">
        <v>-45</v>
      </c>
      <c r="F145" s="0" t="n">
        <f aca="false">12*16</f>
        <v>192</v>
      </c>
      <c r="H145" s="14" t="n">
        <v>142</v>
      </c>
      <c r="I145" s="2" t="n">
        <f aca="false">C145/248.3</f>
        <v>-0.120821586790173</v>
      </c>
      <c r="J145" s="15" t="n">
        <f aca="false">D145/315</f>
        <v>0.223809523809524</v>
      </c>
      <c r="K145" s="0" t="n">
        <f aca="false">F145/366</f>
        <v>0.524590163934426</v>
      </c>
    </row>
    <row r="146" customFormat="false" ht="15.75" hidden="false" customHeight="false" outlineLevel="0" collapsed="false">
      <c r="E146" s="13" t="n">
        <v>-45</v>
      </c>
      <c r="J146" s="2"/>
    </row>
    <row r="147" customFormat="false" ht="15.75" hidden="false" customHeight="false" outlineLevel="0" collapsed="false">
      <c r="E147" s="13" t="n">
        <v>-45</v>
      </c>
    </row>
    <row r="148" customFormat="false" ht="15.75" hidden="false" customHeight="false" outlineLevel="0" collapsed="false">
      <c r="E148" s="13" t="n">
        <v>-45</v>
      </c>
    </row>
    <row r="149" customFormat="false" ht="15.75" hidden="false" customHeight="false" outlineLevel="0" collapsed="false">
      <c r="E149" s="13" t="n">
        <v>-45</v>
      </c>
    </row>
    <row r="150" customFormat="false" ht="12.75" hidden="false" customHeight="false" outlineLevel="0" collapsed="false">
      <c r="E150" s="13" t="n">
        <v>-45</v>
      </c>
    </row>
    <row r="151" customFormat="false" ht="12.75" hidden="false" customHeight="false" outlineLevel="0" collapsed="false">
      <c r="E151" s="13" t="n">
        <v>-45</v>
      </c>
    </row>
    <row r="152" customFormat="false" ht="12.75" hidden="false" customHeight="false" outlineLevel="0" collapsed="false">
      <c r="E152" s="13" t="n">
        <v>-45</v>
      </c>
    </row>
    <row r="153" customFormat="false" ht="12.75" hidden="false" customHeight="false" outlineLevel="0" collapsed="false">
      <c r="E153" s="13" t="n">
        <v>-55</v>
      </c>
    </row>
    <row r="1048576" customFormat="false" ht="15.75" hidden="false" customHeight="true" outlineLevel="0" collapsed="false">
      <c r="F1048576" s="0" t="n">
        <f aca="false">12*8</f>
        <v>96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48576"/>
  <sheetViews>
    <sheetView showFormulas="false" showGridLines="true" showRowColHeaders="true" showZeros="true" rightToLeft="false" tabSelected="false" showOutlineSymbols="true" defaultGridColor="true" view="normal" topLeftCell="A135" colorId="64" zoomScale="100" zoomScaleNormal="100" zoomScalePageLayoutView="100" workbookViewId="0">
      <selection pane="topLeft" activeCell="F140" activeCellId="1" sqref="F145 F140"/>
    </sheetView>
  </sheetViews>
  <sheetFormatPr defaultColWidth="12.66796875" defaultRowHeight="15.75" customHeight="true" zeroHeight="false" outlineLevelRow="0" outlineLevelCol="0"/>
  <cols>
    <col collapsed="false" customWidth="true" hidden="false" outlineLevel="0" max="2" min="2" style="0" width="7.67"/>
    <col collapsed="false" customWidth="true" hidden="false" outlineLevel="0" max="3" min="3" style="0" width="5.66"/>
    <col collapsed="false" customWidth="false" hidden="true" outlineLevel="0" max="5" min="5" style="0" width="12.67"/>
    <col collapsed="false" customWidth="true" hidden="false" outlineLevel="0" max="6" min="6" style="0" width="5.16"/>
    <col collapsed="false" customWidth="true" hidden="false" outlineLevel="0" max="7" min="7" style="0" width="28.16"/>
    <col collapsed="false" customWidth="true" hidden="false" outlineLevel="0" max="8" min="8" style="0" width="3.67"/>
    <col collapsed="false" customWidth="true" hidden="false" outlineLevel="0" max="9" min="9" style="0" width="13.16"/>
    <col collapsed="false" customWidth="true" hidden="false" outlineLevel="0" max="10" min="10" style="0" width="14.67"/>
    <col collapsed="false" customWidth="true" hidden="false" outlineLevel="0" max="11" min="11" style="0" width="12.16"/>
    <col collapsed="false" customWidth="true" hidden="false" outlineLevel="0" max="12" min="12" style="0" width="10.66"/>
    <col collapsed="false" customWidth="true" hidden="false" outlineLevel="0" max="13" min="13" style="0" width="12.33"/>
    <col collapsed="false" customWidth="true" hidden="false" outlineLevel="0" max="15" min="14" style="0" width="12.83"/>
  </cols>
  <sheetData>
    <row r="1" customFormat="false" ht="15.75" hidden="false" customHeight="true" outlineLevel="0" collapsed="false">
      <c r="A1" s="0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4</v>
      </c>
      <c r="G1" s="2"/>
      <c r="H1" s="2"/>
      <c r="I1" s="2" t="s">
        <v>5</v>
      </c>
      <c r="M1" s="2" t="s">
        <v>6</v>
      </c>
      <c r="N1" s="2" t="s">
        <v>7</v>
      </c>
      <c r="O1" s="2"/>
      <c r="P1" s="2" t="s">
        <v>8</v>
      </c>
      <c r="Q1" s="2" t="s">
        <v>9</v>
      </c>
    </row>
    <row r="2" customFormat="false" ht="15.75" hidden="false" customHeight="true" outlineLevel="0" collapsed="false">
      <c r="A2" s="3" t="s">
        <v>10</v>
      </c>
      <c r="B2" s="1" t="s">
        <v>11</v>
      </c>
      <c r="C2" s="4" t="n">
        <v>-247.8</v>
      </c>
      <c r="D2" s="1" t="n">
        <v>267.5</v>
      </c>
      <c r="E2" s="1" t="n">
        <v>15</v>
      </c>
      <c r="F2" s="0" t="n">
        <f aca="false">E2+69</f>
        <v>84</v>
      </c>
      <c r="G2" s="2"/>
      <c r="H2" s="2" t="n">
        <v>1</v>
      </c>
      <c r="I2" s="2" t="n">
        <f aca="false">C2/248.3</f>
        <v>-0.99798630688683</v>
      </c>
      <c r="J2" s="2" t="n">
        <f aca="false">D2/315</f>
        <v>0.849206349206349</v>
      </c>
      <c r="K2" s="0" t="n">
        <f aca="false">F2/366</f>
        <v>0.229508196721311</v>
      </c>
      <c r="L2" s="2"/>
      <c r="M2" s="2" t="n">
        <v>1</v>
      </c>
      <c r="N2" s="5" t="n">
        <f aca="false">(Q2/PI())*-180</f>
        <v>-12.9726397934</v>
      </c>
      <c r="O2" s="5"/>
      <c r="P2" s="2" t="n">
        <f aca="false">SQRT(C2^2+D2^2)</f>
        <v>364.638300237372</v>
      </c>
      <c r="Q2" s="2" t="n">
        <f aca="false">ATAN(F2/P2)</f>
        <v>0.226415277070067</v>
      </c>
    </row>
    <row r="3" customFormat="false" ht="15.75" hidden="false" customHeight="true" outlineLevel="0" collapsed="false">
      <c r="B3" s="1" t="s">
        <v>12</v>
      </c>
      <c r="C3" s="4" t="n">
        <v>-247.8</v>
      </c>
      <c r="D3" s="1" t="n">
        <v>234.9</v>
      </c>
      <c r="E3" s="1" t="n">
        <v>15</v>
      </c>
      <c r="F3" s="0" t="n">
        <f aca="false">E3+69</f>
        <v>84</v>
      </c>
      <c r="G3" s="2"/>
      <c r="H3" s="2" t="n">
        <v>2</v>
      </c>
      <c r="I3" s="2" t="n">
        <f aca="false">C3/248.3</f>
        <v>-0.99798630688683</v>
      </c>
      <c r="J3" s="2" t="n">
        <f aca="false">D3/315</f>
        <v>0.745714285714286</v>
      </c>
      <c r="K3" s="0" t="n">
        <f aca="false">F3/366</f>
        <v>0.229508196721311</v>
      </c>
      <c r="L3" s="2"/>
      <c r="M3" s="5" t="n">
        <v>90</v>
      </c>
      <c r="N3" s="5" t="n">
        <f aca="false">(Q3/PI())*-180</f>
        <v>-13.821161072019</v>
      </c>
      <c r="O3" s="5"/>
      <c r="P3" s="2" t="n">
        <f aca="false">SQRT(C3^2+D3^2)</f>
        <v>341.442308450491</v>
      </c>
      <c r="Q3" s="2" t="n">
        <f aca="false">ATAN(F3/P3)</f>
        <v>0.241224767155201</v>
      </c>
    </row>
    <row r="4" customFormat="false" ht="15.75" hidden="false" customHeight="true" outlineLevel="0" collapsed="false">
      <c r="B4" s="1" t="s">
        <v>13</v>
      </c>
      <c r="C4" s="4" t="n">
        <v>-247.8</v>
      </c>
      <c r="D4" s="1" t="n">
        <v>204.3</v>
      </c>
      <c r="E4" s="1" t="n">
        <v>15</v>
      </c>
      <c r="F4" s="0" t="n">
        <f aca="false">E4+69</f>
        <v>84</v>
      </c>
      <c r="G4" s="2"/>
      <c r="H4" s="2" t="n">
        <v>3</v>
      </c>
      <c r="I4" s="2" t="n">
        <f aca="false">C4/248.3</f>
        <v>-0.99798630688683</v>
      </c>
      <c r="J4" s="2" t="n">
        <f aca="false">D4/315</f>
        <v>0.648571428571429</v>
      </c>
      <c r="K4" s="0" t="n">
        <f aca="false">F4/366</f>
        <v>0.229508196721311</v>
      </c>
      <c r="L4" s="2"/>
      <c r="M4" s="5" t="n">
        <v>90</v>
      </c>
      <c r="N4" s="5" t="n">
        <f aca="false">(Q4/PI())*-180</f>
        <v>-14.6574986733242</v>
      </c>
      <c r="O4" s="5"/>
      <c r="P4" s="2" t="n">
        <f aca="false">SQRT(C4^2+D4^2)</f>
        <v>321.15935296983</v>
      </c>
      <c r="Q4" s="2" t="n">
        <f aca="false">ATAN(F4/P4)</f>
        <v>0.255821611956208</v>
      </c>
    </row>
    <row r="5" customFormat="false" ht="15.75" hidden="false" customHeight="true" outlineLevel="0" collapsed="false">
      <c r="B5" s="1" t="s">
        <v>14</v>
      </c>
      <c r="C5" s="4" t="n">
        <v>-247.8</v>
      </c>
      <c r="D5" s="1" t="n">
        <v>172.6</v>
      </c>
      <c r="E5" s="1" t="n">
        <v>15</v>
      </c>
      <c r="F5" s="0" t="n">
        <f aca="false">E5+69</f>
        <v>84</v>
      </c>
      <c r="G5" s="2"/>
      <c r="H5" s="2" t="n">
        <v>4</v>
      </c>
      <c r="I5" s="2" t="n">
        <f aca="false">C5/248.3</f>
        <v>-0.99798630688683</v>
      </c>
      <c r="J5" s="2" t="n">
        <f aca="false">D5/315</f>
        <v>0.547936507936508</v>
      </c>
      <c r="K5" s="0" t="n">
        <f aca="false">F5/366</f>
        <v>0.229508196721311</v>
      </c>
      <c r="L5" s="2"/>
      <c r="M5" s="5" t="n">
        <v>90</v>
      </c>
      <c r="N5" s="5" t="n">
        <f aca="false">(Q5/PI())*-180</f>
        <v>-15.5443604603174</v>
      </c>
      <c r="O5" s="5"/>
      <c r="P5" s="2" t="n">
        <f aca="false">SQRT(C5^2+D5^2)</f>
        <v>301.986092394998</v>
      </c>
      <c r="Q5" s="2" t="n">
        <f aca="false">ATAN(F5/P5)</f>
        <v>0.27130027014936</v>
      </c>
    </row>
    <row r="6" customFormat="false" ht="15.75" hidden="false" customHeight="true" outlineLevel="0" collapsed="false">
      <c r="B6" s="1" t="s">
        <v>15</v>
      </c>
      <c r="C6" s="4" t="n">
        <v>-247.8</v>
      </c>
      <c r="D6" s="1" t="n">
        <v>141</v>
      </c>
      <c r="E6" s="1" t="n">
        <v>15</v>
      </c>
      <c r="F6" s="0" t="n">
        <f aca="false">E6+69</f>
        <v>84</v>
      </c>
      <c r="G6" s="2"/>
      <c r="H6" s="2" t="n">
        <v>5</v>
      </c>
      <c r="I6" s="2" t="n">
        <f aca="false">C6/248.3</f>
        <v>-0.99798630688683</v>
      </c>
      <c r="J6" s="2" t="n">
        <f aca="false">D6/315</f>
        <v>0.447619047619048</v>
      </c>
      <c r="K6" s="0" t="n">
        <f aca="false">F6/366</f>
        <v>0.229508196721311</v>
      </c>
      <c r="L6" s="2"/>
      <c r="M6" s="5" t="n">
        <v>90</v>
      </c>
      <c r="N6" s="5" t="n">
        <f aca="false">(Q6/PI())*-180</f>
        <v>-16.4163715823259</v>
      </c>
      <c r="O6" s="5"/>
      <c r="P6" s="2" t="n">
        <f aca="false">SQRT(C6^2+D6^2)</f>
        <v>285.106716862301</v>
      </c>
      <c r="Q6" s="2" t="n">
        <f aca="false">ATAN(F6/P6)</f>
        <v>0.286519735342419</v>
      </c>
    </row>
    <row r="7" customFormat="false" ht="15.75" hidden="false" customHeight="true" outlineLevel="0" collapsed="false">
      <c r="B7" s="1" t="s">
        <v>16</v>
      </c>
      <c r="C7" s="4" t="n">
        <v>-247.8</v>
      </c>
      <c r="D7" s="1" t="n">
        <v>109.4</v>
      </c>
      <c r="E7" s="1" t="n">
        <v>15</v>
      </c>
      <c r="F7" s="0" t="n">
        <f aca="false">E7+69</f>
        <v>84</v>
      </c>
      <c r="G7" s="2"/>
      <c r="H7" s="2" t="n">
        <v>6</v>
      </c>
      <c r="I7" s="2" t="n">
        <f aca="false">C7/248.3</f>
        <v>-0.99798630688683</v>
      </c>
      <c r="J7" s="2" t="n">
        <f aca="false">D7/315</f>
        <v>0.347301587301587</v>
      </c>
      <c r="K7" s="0" t="n">
        <f aca="false">F7/366</f>
        <v>0.229508196721311</v>
      </c>
      <c r="L7" s="2"/>
      <c r="M7" s="5" t="n">
        <v>90</v>
      </c>
      <c r="N7" s="5" t="n">
        <f aca="false">(Q7/PI())*-180</f>
        <v>-17.2289913361914</v>
      </c>
      <c r="O7" s="5"/>
      <c r="P7" s="2" t="n">
        <f aca="false">SQRT(C7^2+D7^2)</f>
        <v>270.874878864763</v>
      </c>
      <c r="Q7" s="2" t="n">
        <f aca="false">ATAN(F7/P7)</f>
        <v>0.300702625614118</v>
      </c>
    </row>
    <row r="8" customFormat="false" ht="15.75" hidden="false" customHeight="true" outlineLevel="0" collapsed="false">
      <c r="B8" s="1" t="s">
        <v>17</v>
      </c>
      <c r="C8" s="4" t="n">
        <v>-247.8</v>
      </c>
      <c r="D8" s="1" t="n">
        <v>77.8</v>
      </c>
      <c r="E8" s="1" t="n">
        <v>15</v>
      </c>
      <c r="F8" s="0" t="n">
        <f aca="false">E8+69</f>
        <v>84</v>
      </c>
      <c r="G8" s="2"/>
      <c r="H8" s="2" t="n">
        <v>7</v>
      </c>
      <c r="I8" s="2" t="n">
        <f aca="false">C8/248.3</f>
        <v>-0.99798630688683</v>
      </c>
      <c r="J8" s="2" t="n">
        <f aca="false">D8/315</f>
        <v>0.246984126984127</v>
      </c>
      <c r="K8" s="0" t="n">
        <f aca="false">F8/366</f>
        <v>0.229508196721311</v>
      </c>
      <c r="L8" s="2"/>
      <c r="M8" s="5" t="n">
        <v>90</v>
      </c>
      <c r="N8" s="5" t="n">
        <f aca="false">(Q8/PI())*-180</f>
        <v>-17.9221177652624</v>
      </c>
      <c r="O8" s="5"/>
      <c r="P8" s="2" t="n">
        <f aca="false">SQRT(C8^2+D8^2)</f>
        <v>259.726163487624</v>
      </c>
      <c r="Q8" s="2" t="n">
        <f aca="false">ATAN(F8/P8)</f>
        <v>0.312799963933997</v>
      </c>
    </row>
    <row r="9" customFormat="false" ht="15.75" hidden="false" customHeight="true" outlineLevel="0" collapsed="false">
      <c r="B9" s="1" t="s">
        <v>18</v>
      </c>
      <c r="C9" s="4" t="n">
        <v>-247.8</v>
      </c>
      <c r="D9" s="1" t="n">
        <v>45.2</v>
      </c>
      <c r="E9" s="1" t="n">
        <v>15</v>
      </c>
      <c r="F9" s="0" t="n">
        <f aca="false">E9+69</f>
        <v>84</v>
      </c>
      <c r="G9" s="2"/>
      <c r="H9" s="2" t="n">
        <v>8</v>
      </c>
      <c r="I9" s="2" t="n">
        <f aca="false">C9/248.3</f>
        <v>-0.99798630688683</v>
      </c>
      <c r="J9" s="2" t="n">
        <f aca="false">D9/315</f>
        <v>0.143492063492064</v>
      </c>
      <c r="K9" s="0" t="n">
        <f aca="false">F9/366</f>
        <v>0.229508196721311</v>
      </c>
      <c r="L9" s="2"/>
      <c r="M9" s="5" t="n">
        <v>90</v>
      </c>
      <c r="N9" s="5" t="n">
        <f aca="false">(Q9/PI())*-180</f>
        <v>-18.4425485716183</v>
      </c>
      <c r="O9" s="5"/>
      <c r="P9" s="2" t="n">
        <f aca="false">SQRT(C9^2+D9^2)</f>
        <v>251.888626182287</v>
      </c>
      <c r="Q9" s="2" t="n">
        <f aca="false">ATAN(F9/P9)</f>
        <v>0.321883195033716</v>
      </c>
    </row>
    <row r="10" customFormat="false" ht="15.75" hidden="false" customHeight="true" outlineLevel="0" collapsed="false">
      <c r="B10" s="1" t="s">
        <v>19</v>
      </c>
      <c r="C10" s="4" t="n">
        <v>-247.8</v>
      </c>
      <c r="D10" s="1" t="n">
        <v>14.5</v>
      </c>
      <c r="E10" s="1" t="n">
        <v>15</v>
      </c>
      <c r="F10" s="0" t="n">
        <f aca="false">E10+69</f>
        <v>84</v>
      </c>
      <c r="G10" s="2"/>
      <c r="H10" s="2" t="n">
        <v>9</v>
      </c>
      <c r="I10" s="2" t="n">
        <f aca="false">C10/248.3</f>
        <v>-0.99798630688683</v>
      </c>
      <c r="J10" s="2" t="n">
        <f aca="false">D10/315</f>
        <v>0.046031746031746</v>
      </c>
      <c r="K10" s="0" t="n">
        <f aca="false">F10/366</f>
        <v>0.229508196721311</v>
      </c>
      <c r="L10" s="2"/>
      <c r="M10" s="5" t="n">
        <v>90</v>
      </c>
      <c r="N10" s="5" t="n">
        <f aca="false">(Q10/PI())*-180</f>
        <v>-18.6960350836183</v>
      </c>
      <c r="O10" s="5"/>
      <c r="P10" s="2" t="n">
        <f aca="false">SQRT(C10^2+D10^2)</f>
        <v>248.22387072963</v>
      </c>
      <c r="Q10" s="2" t="n">
        <f aca="false">ATAN(F10/P10)</f>
        <v>0.326307369277513</v>
      </c>
    </row>
    <row r="11" customFormat="false" ht="15.75" hidden="false" customHeight="true" outlineLevel="0" collapsed="false">
      <c r="B11" s="1" t="s">
        <v>20</v>
      </c>
      <c r="C11" s="4" t="n">
        <v>-247.8</v>
      </c>
      <c r="D11" s="1" t="n">
        <v>-17.1</v>
      </c>
      <c r="E11" s="1" t="n">
        <v>15</v>
      </c>
      <c r="F11" s="0" t="n">
        <f aca="false">E11+69</f>
        <v>84</v>
      </c>
      <c r="G11" s="2"/>
      <c r="H11" s="2" t="n">
        <v>10</v>
      </c>
      <c r="I11" s="2" t="n">
        <f aca="false">C11/248.3</f>
        <v>-0.99798630688683</v>
      </c>
      <c r="J11" s="2" t="n">
        <f aca="false">D11/315</f>
        <v>-0.0542857142857143</v>
      </c>
      <c r="K11" s="0" t="n">
        <f aca="false">F11/366</f>
        <v>0.229508196721311</v>
      </c>
      <c r="L11" s="2"/>
      <c r="M11" s="5" t="n">
        <v>90</v>
      </c>
      <c r="N11" s="5" t="n">
        <f aca="false">(Q11/PI())*-180</f>
        <v>-18.6844470293033</v>
      </c>
      <c r="O11" s="5"/>
      <c r="P11" s="2" t="n">
        <f aca="false">SQRT(C11^2+D11^2)</f>
        <v>248.389311364237</v>
      </c>
      <c r="Q11" s="2" t="n">
        <f aca="false">ATAN(F11/P11)</f>
        <v>0.326105119575817</v>
      </c>
    </row>
    <row r="12" customFormat="false" ht="15.75" hidden="false" customHeight="true" outlineLevel="0" collapsed="false">
      <c r="B12" s="1" t="s">
        <v>21</v>
      </c>
      <c r="C12" s="4" t="n">
        <v>-247.8</v>
      </c>
      <c r="D12" s="1" t="n">
        <v>-49.7</v>
      </c>
      <c r="E12" s="1" t="n">
        <v>15</v>
      </c>
      <c r="F12" s="0" t="n">
        <f aca="false">E12+69</f>
        <v>84</v>
      </c>
      <c r="G12" s="2"/>
      <c r="H12" s="2" t="n">
        <v>11</v>
      </c>
      <c r="I12" s="2" t="n">
        <f aca="false">C12/248.3</f>
        <v>-0.99798630688683</v>
      </c>
      <c r="J12" s="2" t="n">
        <f aca="false">D12/315</f>
        <v>-0.157777777777778</v>
      </c>
      <c r="K12" s="0" t="n">
        <f aca="false">F12/366</f>
        <v>0.229508196721311</v>
      </c>
      <c r="L12" s="2"/>
      <c r="M12" s="5" t="n">
        <v>90</v>
      </c>
      <c r="N12" s="5" t="n">
        <f aca="false">(Q12/PI())*-180</f>
        <v>-18.3849530272683</v>
      </c>
      <c r="O12" s="5"/>
      <c r="P12" s="2" t="n">
        <f aca="false">SQRT(C12^2+D12^2)</f>
        <v>252.734900637011</v>
      </c>
      <c r="Q12" s="2" t="n">
        <f aca="false">ATAN(F12/P12)</f>
        <v>0.320877963150331</v>
      </c>
    </row>
    <row r="13" customFormat="false" ht="15.75" hidden="false" customHeight="true" outlineLevel="0" collapsed="false">
      <c r="B13" s="1" t="s">
        <v>22</v>
      </c>
      <c r="C13" s="4" t="n">
        <v>-247.8</v>
      </c>
      <c r="D13" s="1" t="n">
        <v>-80.3</v>
      </c>
      <c r="E13" s="1" t="n">
        <v>15</v>
      </c>
      <c r="F13" s="0" t="n">
        <f aca="false">E13+69</f>
        <v>84</v>
      </c>
      <c r="G13" s="2"/>
      <c r="H13" s="2" t="n">
        <v>12</v>
      </c>
      <c r="I13" s="2" t="n">
        <f aca="false">C13/248.3</f>
        <v>-0.99798630688683</v>
      </c>
      <c r="J13" s="2" t="n">
        <f aca="false">D13/315</f>
        <v>-0.254920634920635</v>
      </c>
      <c r="K13" s="0" t="n">
        <f aca="false">F13/366</f>
        <v>0.229508196721311</v>
      </c>
      <c r="L13" s="2"/>
      <c r="M13" s="5" t="n">
        <v>90</v>
      </c>
      <c r="N13" s="5" t="n">
        <f aca="false">(Q13/PI())*-180</f>
        <v>-17.8731727366979</v>
      </c>
      <c r="O13" s="5"/>
      <c r="P13" s="2" t="n">
        <f aca="false">SQRT(C13^2+D13^2)</f>
        <v>260.485949717063</v>
      </c>
      <c r="Q13" s="2" t="n">
        <f aca="false">ATAN(F13/P13)</f>
        <v>0.311945712033065</v>
      </c>
    </row>
    <row r="14" customFormat="false" ht="15.75" hidden="false" customHeight="true" outlineLevel="0" collapsed="false">
      <c r="B14" s="1" t="s">
        <v>23</v>
      </c>
      <c r="C14" s="4" t="n">
        <v>-247.8</v>
      </c>
      <c r="D14" s="1" t="n">
        <v>-111.9</v>
      </c>
      <c r="E14" s="1" t="n">
        <v>15</v>
      </c>
      <c r="F14" s="0" t="n">
        <f aca="false">E14+69</f>
        <v>84</v>
      </c>
      <c r="G14" s="2"/>
      <c r="H14" s="2" t="n">
        <v>13</v>
      </c>
      <c r="I14" s="2" t="n">
        <f aca="false">C14/248.3</f>
        <v>-0.99798630688683</v>
      </c>
      <c r="J14" s="2" t="n">
        <f aca="false">D14/315</f>
        <v>-0.355238095238095</v>
      </c>
      <c r="K14" s="0" t="n">
        <f aca="false">F14/366</f>
        <v>0.229508196721311</v>
      </c>
      <c r="L14" s="2"/>
      <c r="M14" s="5" t="n">
        <v>90</v>
      </c>
      <c r="N14" s="5" t="n">
        <f aca="false">(Q14/PI())*-180</f>
        <v>-17.168204995082</v>
      </c>
      <c r="O14" s="5"/>
      <c r="P14" s="2" t="n">
        <f aca="false">SQRT(C14^2+D14^2)</f>
        <v>271.894188977992</v>
      </c>
      <c r="Q14" s="2" t="n">
        <f aca="false">ATAN(F14/P14)</f>
        <v>0.299641703821517</v>
      </c>
    </row>
    <row r="15" customFormat="false" ht="15.75" hidden="false" customHeight="true" outlineLevel="0" collapsed="false">
      <c r="B15" s="1" t="s">
        <v>24</v>
      </c>
      <c r="C15" s="4" t="n">
        <v>-247.8</v>
      </c>
      <c r="D15" s="1" t="n">
        <v>-144.6</v>
      </c>
      <c r="E15" s="1" t="n">
        <v>15</v>
      </c>
      <c r="F15" s="0" t="n">
        <f aca="false">E15+69</f>
        <v>84</v>
      </c>
      <c r="G15" s="2"/>
      <c r="H15" s="2" t="n">
        <v>14</v>
      </c>
      <c r="I15" s="2" t="n">
        <f aca="false">C15/248.3</f>
        <v>-0.99798630688683</v>
      </c>
      <c r="J15" s="2" t="n">
        <f aca="false">D15/315</f>
        <v>-0.459047619047619</v>
      </c>
      <c r="K15" s="0" t="n">
        <f aca="false">F15/366</f>
        <v>0.229508196721311</v>
      </c>
      <c r="L15" s="2"/>
      <c r="M15" s="5" t="n">
        <v>90</v>
      </c>
      <c r="N15" s="5" t="n">
        <f aca="false">(Q15/PI())*-180</f>
        <v>-16.3190118343287</v>
      </c>
      <c r="O15" s="5"/>
      <c r="P15" s="2" t="n">
        <f aca="false">SQRT(C15^2+D15^2)</f>
        <v>286.904165184126</v>
      </c>
      <c r="Q15" s="2" t="n">
        <f aca="false">ATAN(F15/P15)</f>
        <v>0.284820487180954</v>
      </c>
    </row>
    <row r="16" customFormat="false" ht="15.75" hidden="false" customHeight="true" outlineLevel="0" collapsed="false">
      <c r="B16" s="1" t="s">
        <v>25</v>
      </c>
      <c r="C16" s="4" t="n">
        <v>-247.8</v>
      </c>
      <c r="D16" s="1" t="n">
        <v>-175.2</v>
      </c>
      <c r="E16" s="1" t="n">
        <v>15</v>
      </c>
      <c r="F16" s="0" t="n">
        <f aca="false">E16+69</f>
        <v>84</v>
      </c>
      <c r="G16" s="2"/>
      <c r="H16" s="2" t="n">
        <v>15</v>
      </c>
      <c r="I16" s="2" t="n">
        <f aca="false">C16/248.3</f>
        <v>-0.99798630688683</v>
      </c>
      <c r="J16" s="2" t="n">
        <f aca="false">D16/315</f>
        <v>-0.556190476190476</v>
      </c>
      <c r="K16" s="0" t="n">
        <f aca="false">F16/366</f>
        <v>0.229508196721311</v>
      </c>
      <c r="L16" s="2"/>
      <c r="M16" s="5" t="n">
        <v>90</v>
      </c>
      <c r="N16" s="5" t="n">
        <f aca="false">(Q16/PI())*-180</f>
        <v>-15.4715344774884</v>
      </c>
      <c r="O16" s="5"/>
      <c r="P16" s="2" t="n">
        <f aca="false">SQRT(C16^2+D16^2)</f>
        <v>303.479620403084</v>
      </c>
      <c r="Q16" s="2" t="n">
        <f aca="false">ATAN(F16/P16)</f>
        <v>0.270029216967992</v>
      </c>
    </row>
    <row r="17" customFormat="false" ht="15.75" hidden="false" customHeight="true" outlineLevel="0" collapsed="false">
      <c r="B17" s="1" t="s">
        <v>26</v>
      </c>
      <c r="C17" s="4" t="n">
        <v>-247.8</v>
      </c>
      <c r="D17" s="1" t="n">
        <v>-206.8</v>
      </c>
      <c r="E17" s="1" t="n">
        <v>15</v>
      </c>
      <c r="F17" s="0" t="n">
        <f aca="false">E17+69</f>
        <v>84</v>
      </c>
      <c r="G17" s="2"/>
      <c r="H17" s="2" t="n">
        <v>16</v>
      </c>
      <c r="I17" s="2" t="n">
        <f aca="false">C17/248.3</f>
        <v>-0.99798630688683</v>
      </c>
      <c r="J17" s="2" t="n">
        <f aca="false">D17/315</f>
        <v>-0.656507936507937</v>
      </c>
      <c r="K17" s="0" t="n">
        <f aca="false">F17/366</f>
        <v>0.229508196721311</v>
      </c>
      <c r="L17" s="2"/>
      <c r="M17" s="5" t="n">
        <v>90</v>
      </c>
      <c r="N17" s="5" t="n">
        <f aca="false">(Q17/PI())*-180</f>
        <v>-14.5881135513072</v>
      </c>
      <c r="O17" s="5"/>
      <c r="P17" s="2" t="n">
        <f aca="false">SQRT(C17^2+D17^2)</f>
        <v>322.755449218135</v>
      </c>
      <c r="Q17" s="2" t="n">
        <f aca="false">ATAN(F17/P17)</f>
        <v>0.254610613125114</v>
      </c>
    </row>
    <row r="18" customFormat="false" ht="15.75" hidden="false" customHeight="true" outlineLevel="0" collapsed="false">
      <c r="B18" s="1" t="s">
        <v>27</v>
      </c>
      <c r="C18" s="4" t="n">
        <v>-247.8</v>
      </c>
      <c r="D18" s="1" t="n">
        <v>-239.4</v>
      </c>
      <c r="E18" s="1" t="n">
        <v>15</v>
      </c>
      <c r="F18" s="0" t="n">
        <f aca="false">E18+69</f>
        <v>84</v>
      </c>
      <c r="G18" s="2"/>
      <c r="H18" s="2" t="n">
        <v>17</v>
      </c>
      <c r="I18" s="2" t="n">
        <f aca="false">C18/248.3</f>
        <v>-0.99798630688683</v>
      </c>
      <c r="J18" s="2" t="n">
        <f aca="false">D18/315</f>
        <v>-0.76</v>
      </c>
      <c r="K18" s="0" t="n">
        <f aca="false">F18/366</f>
        <v>0.229508196721311</v>
      </c>
      <c r="L18" s="2"/>
      <c r="M18" s="5" t="n">
        <v>90</v>
      </c>
      <c r="N18" s="5" t="n">
        <f aca="false">(Q18/PI())*-180</f>
        <v>-13.7010799325696</v>
      </c>
      <c r="O18" s="5"/>
      <c r="P18" s="2" t="n">
        <f aca="false">SQRT(C18^2+D18^2)</f>
        <v>344.553624273494</v>
      </c>
      <c r="Q18" s="2" t="n">
        <f aca="false">ATAN(F18/P18)</f>
        <v>0.239128955902262</v>
      </c>
    </row>
    <row r="19" customFormat="false" ht="15.75" hidden="false" customHeight="true" outlineLevel="0" collapsed="false">
      <c r="B19" s="1" t="s">
        <v>28</v>
      </c>
      <c r="C19" s="4" t="n">
        <v>-247.8</v>
      </c>
      <c r="D19" s="1" t="n">
        <v>-270</v>
      </c>
      <c r="E19" s="1" t="n">
        <v>15</v>
      </c>
      <c r="F19" s="0" t="n">
        <f aca="false">E19+69</f>
        <v>84</v>
      </c>
      <c r="G19" s="2"/>
      <c r="H19" s="2" t="n">
        <v>18</v>
      </c>
      <c r="I19" s="2" t="n">
        <f aca="false">C19/248.3</f>
        <v>-0.99798630688683</v>
      </c>
      <c r="J19" s="2" t="n">
        <f aca="false">D19/315</f>
        <v>-0.857142857142857</v>
      </c>
      <c r="K19" s="0" t="n">
        <f aca="false">F19/366</f>
        <v>0.229508196721311</v>
      </c>
      <c r="L19" s="2"/>
      <c r="M19" s="5" t="n">
        <v>90</v>
      </c>
      <c r="N19" s="5" t="n">
        <f aca="false">(Q19/PI())*-180</f>
        <v>-12.9097645071885</v>
      </c>
      <c r="O19" s="5"/>
      <c r="P19" s="2" t="n">
        <f aca="false">SQRT(C19^2+D19^2)</f>
        <v>366.476247524993</v>
      </c>
      <c r="Q19" s="2" t="n">
        <f aca="false">ATAN(F19/P19)</f>
        <v>0.225317896307543</v>
      </c>
    </row>
    <row r="20" customFormat="false" ht="15.75" hidden="false" customHeight="true" outlineLevel="0" collapsed="false">
      <c r="B20" s="1" t="s">
        <v>29</v>
      </c>
      <c r="C20" s="4" t="n">
        <v>-204.8</v>
      </c>
      <c r="D20" s="6" t="n">
        <v>-296.9</v>
      </c>
      <c r="E20" s="1" t="n">
        <v>15</v>
      </c>
      <c r="F20" s="0" t="n">
        <f aca="false">E20+69</f>
        <v>84</v>
      </c>
      <c r="G20" s="2"/>
      <c r="H20" s="2" t="n">
        <v>19</v>
      </c>
      <c r="I20" s="2" t="n">
        <f aca="false">C20/248.3</f>
        <v>-0.824808699154249</v>
      </c>
      <c r="J20" s="2" t="n">
        <f aca="false">D20/315</f>
        <v>-0.942539682539683</v>
      </c>
      <c r="K20" s="0" t="n">
        <f aca="false">F20/366</f>
        <v>0.229508196721311</v>
      </c>
      <c r="L20" s="2"/>
      <c r="M20" s="5" t="n">
        <v>0</v>
      </c>
      <c r="N20" s="5" t="n">
        <f aca="false">(Q20/PI())*-180</f>
        <v>-13.1099905415332</v>
      </c>
      <c r="O20" s="5"/>
      <c r="P20" s="2" t="n">
        <f aca="false">SQRT(C20^2+D20^2)</f>
        <v>360.683587095393</v>
      </c>
      <c r="Q20" s="2" t="n">
        <f aca="false">ATAN(F20/P20)</f>
        <v>0.228812499855068</v>
      </c>
    </row>
    <row r="21" customFormat="false" ht="15.75" hidden="false" customHeight="true" outlineLevel="0" collapsed="false">
      <c r="B21" s="1" t="s">
        <v>30</v>
      </c>
      <c r="C21" s="1" t="n">
        <v>-173.2</v>
      </c>
      <c r="D21" s="6" t="n">
        <v>-296.9</v>
      </c>
      <c r="E21" s="1" t="n">
        <v>15</v>
      </c>
      <c r="F21" s="0" t="n">
        <f aca="false">E21+69</f>
        <v>84</v>
      </c>
      <c r="G21" s="2"/>
      <c r="H21" s="2" t="n">
        <v>20</v>
      </c>
      <c r="I21" s="2" t="n">
        <f aca="false">C21/248.3</f>
        <v>-0.697543294401933</v>
      </c>
      <c r="J21" s="2" t="n">
        <f aca="false">D21/315</f>
        <v>-0.942539682539683</v>
      </c>
      <c r="K21" s="0" t="n">
        <f aca="false">F21/366</f>
        <v>0.229508196721311</v>
      </c>
      <c r="L21" s="2"/>
      <c r="M21" s="5" t="n">
        <v>0</v>
      </c>
      <c r="N21" s="5" t="n">
        <f aca="false">(Q21/PI())*-180</f>
        <v>-13.73280577714</v>
      </c>
      <c r="O21" s="5"/>
      <c r="P21" s="2" t="n">
        <f aca="false">SQRT(C21^2+D21^2)</f>
        <v>343.726417372887</v>
      </c>
      <c r="Q21" s="2" t="n">
        <f aca="false">ATAN(F21/P21)</f>
        <v>0.239682676347991</v>
      </c>
    </row>
    <row r="22" customFormat="false" ht="15.75" hidden="false" customHeight="true" outlineLevel="0" collapsed="false">
      <c r="B22" s="1" t="s">
        <v>31</v>
      </c>
      <c r="C22" s="1" t="n">
        <v>-141.6</v>
      </c>
      <c r="D22" s="6" t="n">
        <v>-296.9</v>
      </c>
      <c r="E22" s="1" t="n">
        <v>15</v>
      </c>
      <c r="F22" s="0" t="n">
        <f aca="false">E22+69</f>
        <v>84</v>
      </c>
      <c r="G22" s="2"/>
      <c r="H22" s="2" t="n">
        <v>21</v>
      </c>
      <c r="I22" s="2" t="n">
        <f aca="false">C22/248.3</f>
        <v>-0.570277889649617</v>
      </c>
      <c r="J22" s="2" t="n">
        <f aca="false">D22/315</f>
        <v>-0.942539682539683</v>
      </c>
      <c r="K22" s="0" t="n">
        <f aca="false">F22/366</f>
        <v>0.229508196721311</v>
      </c>
      <c r="L22" s="2"/>
      <c r="M22" s="5" t="n">
        <v>0</v>
      </c>
      <c r="N22" s="5" t="n">
        <f aca="false">(Q22/PI())*-180</f>
        <v>-14.3253109057638</v>
      </c>
      <c r="O22" s="5"/>
      <c r="P22" s="2" t="n">
        <f aca="false">SQRT(C22^2+D22^2)</f>
        <v>328.937942475477</v>
      </c>
      <c r="Q22" s="2" t="n">
        <f aca="false">ATAN(F22/P22)</f>
        <v>0.25002384167743</v>
      </c>
    </row>
    <row r="23" customFormat="false" ht="15.75" hidden="false" customHeight="true" outlineLevel="0" collapsed="false">
      <c r="B23" s="1" t="s">
        <v>32</v>
      </c>
      <c r="C23" s="1" t="n">
        <v>-109.9</v>
      </c>
      <c r="D23" s="6" t="n">
        <v>-296.9</v>
      </c>
      <c r="E23" s="1" t="n">
        <v>15</v>
      </c>
      <c r="F23" s="0" t="n">
        <f aca="false">E23+69</f>
        <v>84</v>
      </c>
      <c r="G23" s="2"/>
      <c r="H23" s="2" t="n">
        <v>22</v>
      </c>
      <c r="I23" s="2" t="n">
        <f aca="false">C23/248.3</f>
        <v>-0.442609746274668</v>
      </c>
      <c r="J23" s="2" t="n">
        <f aca="false">D23/315</f>
        <v>-0.942539682539683</v>
      </c>
      <c r="K23" s="0" t="n">
        <f aca="false">F23/366</f>
        <v>0.229508196721311</v>
      </c>
      <c r="L23" s="2"/>
      <c r="M23" s="5" t="n">
        <v>0</v>
      </c>
      <c r="N23" s="5" t="n">
        <f aca="false">(Q23/PI())*-180</f>
        <v>-14.8598670574779</v>
      </c>
      <c r="O23" s="5"/>
      <c r="P23" s="2" t="n">
        <f aca="false">SQRT(C23^2+D23^2)</f>
        <v>316.58746026967</v>
      </c>
      <c r="Q23" s="2" t="n">
        <f aca="false">ATAN(F23/P23)</f>
        <v>0.25935360656163</v>
      </c>
    </row>
    <row r="24" customFormat="false" ht="15.75" hidden="false" customHeight="true" outlineLevel="0" collapsed="false">
      <c r="B24" s="1" t="s">
        <v>33</v>
      </c>
      <c r="C24" s="1" t="n">
        <v>-78.3</v>
      </c>
      <c r="D24" s="6" t="n">
        <v>-296.9</v>
      </c>
      <c r="E24" s="1" t="n">
        <v>15</v>
      </c>
      <c r="F24" s="0" t="n">
        <f aca="false">E24+69</f>
        <v>84</v>
      </c>
      <c r="G24" s="2"/>
      <c r="H24" s="2" t="n">
        <v>23</v>
      </c>
      <c r="I24" s="2" t="n">
        <f aca="false">C24/248.3</f>
        <v>-0.315344341522352</v>
      </c>
      <c r="J24" s="2" t="n">
        <f aca="false">D24/315</f>
        <v>-0.942539682539683</v>
      </c>
      <c r="K24" s="0" t="n">
        <f aca="false">F24/366</f>
        <v>0.229508196721311</v>
      </c>
      <c r="L24" s="2"/>
      <c r="M24" s="5" t="n">
        <v>0</v>
      </c>
      <c r="N24" s="5" t="n">
        <f aca="false">(Q24/PI())*-180</f>
        <v>-15.3000468830348</v>
      </c>
      <c r="O24" s="5"/>
      <c r="P24" s="2" t="n">
        <f aca="false">SQRT(C24^2+D24^2)</f>
        <v>307.051298645682</v>
      </c>
      <c r="Q24" s="2" t="n">
        <f aca="false">ATAN(F24/P24)</f>
        <v>0.267036193818453</v>
      </c>
    </row>
    <row r="25" customFormat="false" ht="15.75" hidden="false" customHeight="true" outlineLevel="0" collapsed="false">
      <c r="B25" s="1" t="s">
        <v>34</v>
      </c>
      <c r="C25" s="1" t="n">
        <v>-45.7</v>
      </c>
      <c r="D25" s="6" t="n">
        <v>-296.9</v>
      </c>
      <c r="E25" s="1" t="n">
        <v>15</v>
      </c>
      <c r="F25" s="0" t="n">
        <f aca="false">E25+69</f>
        <v>84</v>
      </c>
      <c r="G25" s="2"/>
      <c r="H25" s="2" t="n">
        <v>24</v>
      </c>
      <c r="I25" s="2" t="n">
        <f aca="false">C25/248.3</f>
        <v>-0.184051550543697</v>
      </c>
      <c r="J25" s="2" t="n">
        <f aca="false">D25/315</f>
        <v>-0.942539682539683</v>
      </c>
      <c r="K25" s="0" t="n">
        <f aca="false">F25/366</f>
        <v>0.229508196721311</v>
      </c>
      <c r="L25" s="2"/>
      <c r="M25" s="5" t="n">
        <v>0</v>
      </c>
      <c r="N25" s="5" t="n">
        <f aca="false">(Q25/PI())*-180</f>
        <v>-15.6226052276219</v>
      </c>
      <c r="O25" s="5"/>
      <c r="P25" s="2" t="n">
        <f aca="false">SQRT(C25^2+D25^2)</f>
        <v>300.396571218781</v>
      </c>
      <c r="Q25" s="2" t="n">
        <f aca="false">ATAN(F25/P25)</f>
        <v>0.27266589896128</v>
      </c>
    </row>
    <row r="26" customFormat="false" ht="15.75" hidden="false" customHeight="true" outlineLevel="0" collapsed="false">
      <c r="B26" s="1" t="s">
        <v>35</v>
      </c>
      <c r="C26" s="1" t="n">
        <v>-15.1</v>
      </c>
      <c r="D26" s="6" t="n">
        <v>-296.9</v>
      </c>
      <c r="E26" s="1" t="n">
        <v>15</v>
      </c>
      <c r="F26" s="0" t="n">
        <f aca="false">E26+69</f>
        <v>84</v>
      </c>
      <c r="G26" s="2"/>
      <c r="H26" s="2" t="n">
        <v>25</v>
      </c>
      <c r="I26" s="2" t="n">
        <f aca="false">C26/248.3</f>
        <v>-0.0608135320177205</v>
      </c>
      <c r="J26" s="2" t="n">
        <f aca="false">D26/315</f>
        <v>-0.942539682539683</v>
      </c>
      <c r="K26" s="0" t="n">
        <f aca="false">F26/366</f>
        <v>0.229508196721311</v>
      </c>
      <c r="L26" s="2"/>
      <c r="M26" s="5" t="n">
        <v>0</v>
      </c>
      <c r="N26" s="5" t="n">
        <f aca="false">(Q26/PI())*-180</f>
        <v>-15.7780816571907</v>
      </c>
      <c r="O26" s="5"/>
      <c r="P26" s="2" t="n">
        <f aca="false">SQRT(C26^2+D26^2)</f>
        <v>297.283736521189</v>
      </c>
      <c r="Q26" s="2" t="n">
        <f aca="false">ATAN(F26/P26)</f>
        <v>0.2753794745665</v>
      </c>
    </row>
    <row r="27" customFormat="false" ht="15.75" hidden="false" customHeight="true" outlineLevel="0" collapsed="false">
      <c r="B27" s="1" t="s">
        <v>36</v>
      </c>
      <c r="C27" s="1" t="n">
        <v>16.5</v>
      </c>
      <c r="D27" s="6" t="n">
        <v>-296.9</v>
      </c>
      <c r="E27" s="1" t="n">
        <v>15</v>
      </c>
      <c r="F27" s="0" t="n">
        <f aca="false">E27+69</f>
        <v>84</v>
      </c>
      <c r="G27" s="2"/>
      <c r="H27" s="2" t="n">
        <v>26</v>
      </c>
      <c r="I27" s="2" t="n">
        <f aca="false">C27/248.3</f>
        <v>0.0664518727345952</v>
      </c>
      <c r="J27" s="2" t="n">
        <f aca="false">D27/315</f>
        <v>-0.942539682539683</v>
      </c>
      <c r="K27" s="0" t="n">
        <f aca="false">F27/366</f>
        <v>0.229508196721311</v>
      </c>
      <c r="L27" s="2"/>
      <c r="M27" s="5" t="n">
        <v>0</v>
      </c>
      <c r="N27" s="5" t="n">
        <f aca="false">(Q27/PI())*-180</f>
        <v>-15.7743305496609</v>
      </c>
      <c r="O27" s="5"/>
      <c r="P27" s="2" t="n">
        <f aca="false">SQRT(C27^2+D27^2)</f>
        <v>297.358134242196</v>
      </c>
      <c r="Q27" s="2" t="n">
        <f aca="false">ATAN(F27/P27)</f>
        <v>0.27531400538951</v>
      </c>
    </row>
    <row r="28" customFormat="false" ht="15.75" hidden="false" customHeight="true" outlineLevel="0" collapsed="false">
      <c r="B28" s="1" t="s">
        <v>37</v>
      </c>
      <c r="C28" s="1" t="n">
        <v>47.2</v>
      </c>
      <c r="D28" s="6" t="n">
        <v>-296.9</v>
      </c>
      <c r="E28" s="1" t="n">
        <v>15</v>
      </c>
      <c r="F28" s="0" t="n">
        <f aca="false">E28+69</f>
        <v>84</v>
      </c>
      <c r="G28" s="2"/>
      <c r="H28" s="2" t="n">
        <v>27</v>
      </c>
      <c r="I28" s="2" t="n">
        <f aca="false">C28/248.3</f>
        <v>0.190092629883206</v>
      </c>
      <c r="J28" s="2" t="n">
        <f aca="false">D28/315</f>
        <v>-0.942539682539683</v>
      </c>
      <c r="K28" s="0" t="n">
        <f aca="false">F28/366</f>
        <v>0.229508196721311</v>
      </c>
      <c r="L28" s="2"/>
      <c r="M28" s="5" t="n">
        <v>0</v>
      </c>
      <c r="N28" s="5" t="n">
        <f aca="false">(Q28/PI())*-180</f>
        <v>-15.6111443185471</v>
      </c>
      <c r="O28" s="5"/>
      <c r="P28" s="2" t="n">
        <f aca="false">SQRT(C28^2+D28^2)</f>
        <v>300.628425136413</v>
      </c>
      <c r="Q28" s="2" t="n">
        <f aca="false">ATAN(F28/P28)</f>
        <v>0.272465868362654</v>
      </c>
    </row>
    <row r="29" customFormat="false" ht="15.75" hidden="false" customHeight="true" outlineLevel="0" collapsed="false">
      <c r="B29" s="1" t="s">
        <v>38</v>
      </c>
      <c r="C29" s="1" t="n">
        <v>79.8</v>
      </c>
      <c r="D29" s="6" t="n">
        <v>-296.9</v>
      </c>
      <c r="E29" s="1" t="n">
        <v>15</v>
      </c>
      <c r="F29" s="0" t="n">
        <f aca="false">E29+69</f>
        <v>84</v>
      </c>
      <c r="G29" s="2"/>
      <c r="H29" s="2" t="n">
        <v>28</v>
      </c>
      <c r="I29" s="2" t="n">
        <f aca="false">C29/248.3</f>
        <v>0.321385420861861</v>
      </c>
      <c r="J29" s="2" t="n">
        <f aca="false">D29/315</f>
        <v>-0.942539682539683</v>
      </c>
      <c r="K29" s="0" t="n">
        <f aca="false">F29/366</f>
        <v>0.229508196721311</v>
      </c>
      <c r="L29" s="2"/>
      <c r="M29" s="5" t="n">
        <v>0</v>
      </c>
      <c r="N29" s="5" t="n">
        <f aca="false">(Q29/PI())*-180</f>
        <v>-15.2817390140512</v>
      </c>
      <c r="O29" s="5"/>
      <c r="P29" s="2" t="n">
        <f aca="false">SQRT(C29^2+D29^2)</f>
        <v>307.437229365606</v>
      </c>
      <c r="Q29" s="2" t="n">
        <f aca="false">ATAN(F29/P29)</f>
        <v>0.266716661225665</v>
      </c>
    </row>
    <row r="30" customFormat="false" ht="15.75" hidden="false" customHeight="true" outlineLevel="0" collapsed="false">
      <c r="B30" s="1" t="s">
        <v>39</v>
      </c>
      <c r="C30" s="1" t="n">
        <v>111.4</v>
      </c>
      <c r="D30" s="6" t="n">
        <v>-296.9</v>
      </c>
      <c r="E30" s="1" t="n">
        <v>15</v>
      </c>
      <c r="F30" s="0" t="n">
        <f aca="false">E30+69</f>
        <v>84</v>
      </c>
      <c r="G30" s="2"/>
      <c r="H30" s="2" t="n">
        <v>29</v>
      </c>
      <c r="I30" s="2" t="n">
        <f aca="false">C30/248.3</f>
        <v>0.448650825614176</v>
      </c>
      <c r="J30" s="2" t="n">
        <f aca="false">D30/315</f>
        <v>-0.942539682539683</v>
      </c>
      <c r="K30" s="0" t="n">
        <f aca="false">F30/366</f>
        <v>0.229508196721311</v>
      </c>
      <c r="L30" s="2"/>
      <c r="M30" s="5" t="n">
        <v>0</v>
      </c>
      <c r="N30" s="5" t="n">
        <f aca="false">(Q30/PI())*-180</f>
        <v>-14.8364038441926</v>
      </c>
      <c r="O30" s="5"/>
      <c r="P30" s="2" t="n">
        <f aca="false">SQRT(C30^2+D30^2)</f>
        <v>317.111289612969</v>
      </c>
      <c r="Q30" s="2" t="n">
        <f aca="false">ATAN(F30/P30)</f>
        <v>0.258944096236704</v>
      </c>
    </row>
    <row r="31" customFormat="false" ht="15.75" hidden="false" customHeight="true" outlineLevel="0" collapsed="false">
      <c r="B31" s="1" t="s">
        <v>40</v>
      </c>
      <c r="C31" s="1" t="n">
        <v>144</v>
      </c>
      <c r="D31" s="6" t="n">
        <v>-296.9</v>
      </c>
      <c r="E31" s="1" t="n">
        <v>15</v>
      </c>
      <c r="F31" s="0" t="n">
        <f aca="false">E31+69</f>
        <v>84</v>
      </c>
      <c r="G31" s="2"/>
      <c r="H31" s="2" t="n">
        <v>30</v>
      </c>
      <c r="I31" s="2" t="n">
        <f aca="false">C31/248.3</f>
        <v>0.579943616592831</v>
      </c>
      <c r="J31" s="2" t="n">
        <f aca="false">D31/315</f>
        <v>-0.942539682539683</v>
      </c>
      <c r="K31" s="0" t="n">
        <f aca="false">F31/366</f>
        <v>0.229508196721311</v>
      </c>
      <c r="L31" s="2"/>
      <c r="M31" s="5" t="n">
        <v>0</v>
      </c>
      <c r="N31" s="5" t="n">
        <f aca="false">(Q31/PI())*-180</f>
        <v>-14.2820007740414</v>
      </c>
      <c r="O31" s="5"/>
      <c r="P31" s="2" t="n">
        <f aca="false">SQRT(C31^2+D31^2)</f>
        <v>329.978196249389</v>
      </c>
      <c r="Q31" s="2" t="n">
        <f aca="false">ATAN(F31/P31)</f>
        <v>0.249267937279401</v>
      </c>
    </row>
    <row r="32" customFormat="false" ht="15.75" hidden="false" customHeight="true" outlineLevel="0" collapsed="false">
      <c r="B32" s="1" t="s">
        <v>41</v>
      </c>
      <c r="C32" s="1" t="n">
        <v>174.6</v>
      </c>
      <c r="D32" s="6" t="n">
        <v>-296.9</v>
      </c>
      <c r="E32" s="1" t="n">
        <v>15</v>
      </c>
      <c r="F32" s="0" t="n">
        <f aca="false">E32+69</f>
        <v>84</v>
      </c>
      <c r="G32" s="2"/>
      <c r="H32" s="2" t="n">
        <v>31</v>
      </c>
      <c r="I32" s="2" t="n">
        <f aca="false">C32/248.3</f>
        <v>0.703181635118808</v>
      </c>
      <c r="J32" s="2" t="n">
        <f aca="false">D32/315</f>
        <v>-0.942539682539683</v>
      </c>
      <c r="K32" s="0" t="n">
        <f aca="false">F32/366</f>
        <v>0.229508196721311</v>
      </c>
      <c r="L32" s="2"/>
      <c r="M32" s="5" t="n">
        <v>0</v>
      </c>
      <c r="N32" s="5" t="n">
        <f aca="false">(Q32/PI())*-180</f>
        <v>-13.7056595590557</v>
      </c>
      <c r="O32" s="5"/>
      <c r="P32" s="2" t="n">
        <f aca="false">SQRT(C32^2+D32^2)</f>
        <v>344.433984966641</v>
      </c>
      <c r="Q32" s="2" t="n">
        <f aca="false">ATAN(F32/P32)</f>
        <v>0.239208885462956</v>
      </c>
    </row>
    <row r="33" customFormat="false" ht="15.75" hidden="false" customHeight="true" outlineLevel="0" collapsed="false">
      <c r="B33" s="1" t="s">
        <v>42</v>
      </c>
      <c r="C33" s="1" t="n">
        <v>206.3</v>
      </c>
      <c r="D33" s="6" t="n">
        <v>-296.9</v>
      </c>
      <c r="E33" s="1" t="n">
        <v>15</v>
      </c>
      <c r="F33" s="0" t="n">
        <f aca="false">E33+69</f>
        <v>84</v>
      </c>
      <c r="G33" s="2"/>
      <c r="H33" s="2" t="n">
        <v>32</v>
      </c>
      <c r="I33" s="2" t="n">
        <f aca="false">C33/248.3</f>
        <v>0.830849778493758</v>
      </c>
      <c r="J33" s="2" t="n">
        <f aca="false">D33/315</f>
        <v>-0.942539682539683</v>
      </c>
      <c r="K33" s="0" t="n">
        <f aca="false">F33/366</f>
        <v>0.229508196721311</v>
      </c>
      <c r="L33" s="2"/>
      <c r="M33" s="5" t="n">
        <v>0</v>
      </c>
      <c r="N33" s="5" t="n">
        <f aca="false">(Q33/PI())*-180</f>
        <v>-13.0800951068236</v>
      </c>
      <c r="O33" s="5"/>
      <c r="P33" s="2" t="n">
        <f aca="false">SQRT(C33^2+D33^2)</f>
        <v>361.53741161877</v>
      </c>
      <c r="Q33" s="2" t="n">
        <f aca="false">ATAN(F33/P33)</f>
        <v>0.228290726088071</v>
      </c>
    </row>
    <row r="34" customFormat="false" ht="15.75" hidden="false" customHeight="true" outlineLevel="0" collapsed="false">
      <c r="A34" s="2" t="n">
        <v>248.3</v>
      </c>
      <c r="B34" s="1" t="s">
        <v>43</v>
      </c>
      <c r="C34" s="7" t="n">
        <v>248.3</v>
      </c>
      <c r="D34" s="6" t="n">
        <v>-267.9</v>
      </c>
      <c r="E34" s="1" t="n">
        <v>15</v>
      </c>
      <c r="F34" s="0" t="n">
        <f aca="false">E34+69</f>
        <v>84</v>
      </c>
      <c r="G34" s="2"/>
      <c r="H34" s="2" t="n">
        <v>33</v>
      </c>
      <c r="I34" s="2" t="n">
        <f aca="false">C34/248.3</f>
        <v>1</v>
      </c>
      <c r="J34" s="2" t="n">
        <f aca="false">D34/315</f>
        <v>-0.85047619047619</v>
      </c>
      <c r="K34" s="0" t="n">
        <f aca="false">F34/366</f>
        <v>0.229508196721311</v>
      </c>
      <c r="L34" s="2"/>
      <c r="M34" s="5" t="n">
        <v>270</v>
      </c>
      <c r="N34" s="5" t="n">
        <f aca="false">(Q34/PI())*-180</f>
        <v>-12.9509090114055</v>
      </c>
      <c r="O34" s="5"/>
      <c r="P34" s="2" t="n">
        <f aca="false">SQRT(C34^2+D34^2)</f>
        <v>365.271542828072</v>
      </c>
      <c r="Q34" s="2" t="n">
        <f aca="false">ATAN(F34/P34)</f>
        <v>0.22603600337523</v>
      </c>
    </row>
    <row r="35" customFormat="false" ht="15.75" hidden="false" customHeight="true" outlineLevel="0" collapsed="false">
      <c r="B35" s="1" t="s">
        <v>44</v>
      </c>
      <c r="C35" s="7" t="n">
        <v>248.3</v>
      </c>
      <c r="D35" s="1" t="n">
        <v>-235.3</v>
      </c>
      <c r="E35" s="1" t="n">
        <v>15</v>
      </c>
      <c r="F35" s="0" t="n">
        <f aca="false">E35+69</f>
        <v>84</v>
      </c>
      <c r="G35" s="2"/>
      <c r="H35" s="2" t="n">
        <v>34</v>
      </c>
      <c r="I35" s="2" t="n">
        <f aca="false">C35/248.3</f>
        <v>1</v>
      </c>
      <c r="J35" s="2" t="n">
        <f aca="false">D35/315</f>
        <v>-0.746984126984127</v>
      </c>
      <c r="K35" s="0" t="n">
        <f aca="false">F35/366</f>
        <v>0.229508196721311</v>
      </c>
      <c r="L35" s="2"/>
      <c r="M35" s="5" t="n">
        <v>270</v>
      </c>
      <c r="N35" s="5" t="n">
        <f aca="false">(Q35/PI())*-180</f>
        <v>-13.7963671415391</v>
      </c>
      <c r="O35" s="5"/>
      <c r="P35" s="2" t="n">
        <f aca="false">SQRT(C35^2+D35^2)</f>
        <v>342.080370673326</v>
      </c>
      <c r="Q35" s="2" t="n">
        <f aca="false">ATAN(F35/P35)</f>
        <v>0.240792031433816</v>
      </c>
    </row>
    <row r="36" customFormat="false" ht="15.75" hidden="false" customHeight="true" outlineLevel="0" collapsed="false">
      <c r="B36" s="1" t="s">
        <v>45</v>
      </c>
      <c r="C36" s="7" t="n">
        <v>248.3</v>
      </c>
      <c r="D36" s="1" t="n">
        <v>-204.7</v>
      </c>
      <c r="E36" s="1" t="n">
        <v>15</v>
      </c>
      <c r="F36" s="0" t="n">
        <f aca="false">E36+69</f>
        <v>84</v>
      </c>
      <c r="G36" s="2"/>
      <c r="H36" s="2" t="n">
        <v>35</v>
      </c>
      <c r="I36" s="2" t="n">
        <f aca="false">C36/248.3</f>
        <v>1</v>
      </c>
      <c r="J36" s="2" t="n">
        <f aca="false">D36/315</f>
        <v>-0.64984126984127</v>
      </c>
      <c r="K36" s="0" t="n">
        <f aca="false">F36/366</f>
        <v>0.229508196721311</v>
      </c>
      <c r="L36" s="2"/>
      <c r="M36" s="5" t="n">
        <v>270</v>
      </c>
      <c r="N36" s="5" t="n">
        <f aca="false">(Q36/PI())*-180</f>
        <v>-14.6295887776648</v>
      </c>
      <c r="O36" s="5"/>
      <c r="P36" s="2" t="n">
        <f aca="false">SQRT(C36^2+D36^2)</f>
        <v>321.799596022121</v>
      </c>
      <c r="Q36" s="2" t="n">
        <f aca="false">ATAN(F36/P36)</f>
        <v>0.255334492383064</v>
      </c>
    </row>
    <row r="37" customFormat="false" ht="15.75" hidden="false" customHeight="true" outlineLevel="0" collapsed="false">
      <c r="B37" s="1" t="s">
        <v>46</v>
      </c>
      <c r="C37" s="7" t="n">
        <v>248.3</v>
      </c>
      <c r="D37" s="1" t="n">
        <v>-173.1</v>
      </c>
      <c r="E37" s="1" t="n">
        <v>15</v>
      </c>
      <c r="F37" s="0" t="n">
        <f aca="false">E37+69</f>
        <v>84</v>
      </c>
      <c r="G37" s="2"/>
      <c r="H37" s="2" t="n">
        <v>36</v>
      </c>
      <c r="I37" s="2" t="n">
        <f aca="false">C37/248.3</f>
        <v>1</v>
      </c>
      <c r="J37" s="2" t="n">
        <f aca="false">D37/315</f>
        <v>-0.54952380952381</v>
      </c>
      <c r="K37" s="0" t="n">
        <f aca="false">F37/366</f>
        <v>0.229508196721311</v>
      </c>
      <c r="L37" s="2"/>
      <c r="M37" s="5" t="n">
        <v>270</v>
      </c>
      <c r="N37" s="5" t="n">
        <f aca="false">(Q37/PI())*-180</f>
        <v>-15.5103356424365</v>
      </c>
      <c r="O37" s="5"/>
      <c r="P37" s="2" t="n">
        <f aca="false">SQRT(C37^2+D37^2)</f>
        <v>302.682176548273</v>
      </c>
      <c r="Q37" s="2" t="n">
        <f aca="false">ATAN(F37/P37)</f>
        <v>0.270706425049947</v>
      </c>
    </row>
    <row r="38" customFormat="false" ht="15.75" hidden="false" customHeight="true" outlineLevel="0" collapsed="false">
      <c r="B38" s="1" t="s">
        <v>47</v>
      </c>
      <c r="C38" s="7" t="n">
        <v>248.3</v>
      </c>
      <c r="D38" s="1" t="n">
        <v>-140.5</v>
      </c>
      <c r="E38" s="1" t="n">
        <v>15</v>
      </c>
      <c r="F38" s="0" t="n">
        <f aca="false">E38+69</f>
        <v>84</v>
      </c>
      <c r="G38" s="2"/>
      <c r="H38" s="2" t="n">
        <v>37</v>
      </c>
      <c r="I38" s="2" t="n">
        <f aca="false">C38/248.3</f>
        <v>1</v>
      </c>
      <c r="J38" s="2" t="n">
        <f aca="false">D38/315</f>
        <v>-0.446031746031746</v>
      </c>
      <c r="K38" s="0" t="n">
        <f aca="false">F38/366</f>
        <v>0.229508196721311</v>
      </c>
      <c r="L38" s="2"/>
      <c r="M38" s="5" t="n">
        <v>270</v>
      </c>
      <c r="N38" s="5" t="n">
        <f aca="false">(Q38/PI())*-180</f>
        <v>-16.4061294373101</v>
      </c>
      <c r="O38" s="5"/>
      <c r="P38" s="2" t="n">
        <f aca="false">SQRT(C38^2+D38^2)</f>
        <v>285.294829956661</v>
      </c>
      <c r="Q38" s="2" t="n">
        <f aca="false">ATAN(F38/P38)</f>
        <v>0.286340976189426</v>
      </c>
    </row>
    <row r="39" customFormat="false" ht="15.75" hidden="false" customHeight="true" outlineLevel="0" collapsed="false">
      <c r="B39" s="1" t="s">
        <v>48</v>
      </c>
      <c r="C39" s="7" t="n">
        <v>248.3</v>
      </c>
      <c r="D39" s="1" t="n">
        <v>-109.9</v>
      </c>
      <c r="E39" s="1" t="n">
        <v>15</v>
      </c>
      <c r="F39" s="0" t="n">
        <f aca="false">E39+69</f>
        <v>84</v>
      </c>
      <c r="G39" s="2"/>
      <c r="H39" s="2" t="n">
        <v>38</v>
      </c>
      <c r="I39" s="2" t="n">
        <f aca="false">C39/248.3</f>
        <v>1</v>
      </c>
      <c r="J39" s="2" t="n">
        <f aca="false">D39/315</f>
        <v>-0.348888888888889</v>
      </c>
      <c r="K39" s="0" t="n">
        <f aca="false">F39/366</f>
        <v>0.229508196721311</v>
      </c>
      <c r="L39" s="2"/>
      <c r="M39" s="5" t="n">
        <v>270</v>
      </c>
      <c r="N39" s="5" t="n">
        <f aca="false">(Q39/PI())*-180</f>
        <v>-17.1896167066167</v>
      </c>
      <c r="O39" s="5"/>
      <c r="P39" s="2" t="n">
        <f aca="false">SQRT(C39^2+D39^2)</f>
        <v>271.534344052461</v>
      </c>
      <c r="Q39" s="2" t="n">
        <f aca="false">ATAN(F39/P39)</f>
        <v>0.300015408686286</v>
      </c>
    </row>
    <row r="40" customFormat="false" ht="15.75" hidden="false" customHeight="true" outlineLevel="0" collapsed="false">
      <c r="B40" s="1" t="s">
        <v>49</v>
      </c>
      <c r="C40" s="7" t="n">
        <v>248.3</v>
      </c>
      <c r="D40" s="1" t="n">
        <v>-78.2</v>
      </c>
      <c r="E40" s="1" t="n">
        <v>15</v>
      </c>
      <c r="F40" s="0" t="n">
        <f aca="false">E40+69</f>
        <v>84</v>
      </c>
      <c r="G40" s="2"/>
      <c r="H40" s="2" t="n">
        <v>39</v>
      </c>
      <c r="I40" s="2" t="n">
        <f aca="false">C40/248.3</f>
        <v>1</v>
      </c>
      <c r="J40" s="2" t="n">
        <f aca="false">D40/315</f>
        <v>-0.248253968253968</v>
      </c>
      <c r="K40" s="0" t="n">
        <f aca="false">F40/366</f>
        <v>0.229508196721311</v>
      </c>
      <c r="L40" s="2"/>
      <c r="M40" s="5" t="n">
        <v>270</v>
      </c>
      <c r="N40" s="5" t="n">
        <f aca="false">(Q40/PI())*-180</f>
        <v>-17.8836399625373</v>
      </c>
      <c r="O40" s="5"/>
      <c r="P40" s="2" t="n">
        <f aca="false">SQRT(C40^2+D40^2)</f>
        <v>260.323126133657</v>
      </c>
      <c r="Q40" s="2" t="n">
        <f aca="false">ATAN(F40/P40)</f>
        <v>0.31212839958751</v>
      </c>
    </row>
    <row r="41" customFormat="false" ht="15.75" hidden="false" customHeight="true" outlineLevel="0" collapsed="false">
      <c r="B41" s="1" t="s">
        <v>50</v>
      </c>
      <c r="C41" s="7" t="n">
        <v>248.3</v>
      </c>
      <c r="D41" s="1" t="n">
        <v>-45.6</v>
      </c>
      <c r="E41" s="1" t="n">
        <v>15</v>
      </c>
      <c r="F41" s="0" t="n">
        <f aca="false">E41+69</f>
        <v>84</v>
      </c>
      <c r="G41" s="2"/>
      <c r="H41" s="2" t="n">
        <v>40</v>
      </c>
      <c r="I41" s="2" t="n">
        <f aca="false">C41/248.3</f>
        <v>1</v>
      </c>
      <c r="J41" s="2" t="n">
        <f aca="false">D41/315</f>
        <v>-0.144761904761905</v>
      </c>
      <c r="K41" s="0" t="n">
        <f aca="false">F41/366</f>
        <v>0.229508196721311</v>
      </c>
      <c r="L41" s="2"/>
      <c r="M41" s="5" t="n">
        <v>270</v>
      </c>
      <c r="N41" s="5" t="n">
        <f aca="false">(Q41/PI())*-180</f>
        <v>-18.4041359212516</v>
      </c>
      <c r="O41" s="5"/>
      <c r="P41" s="2" t="n">
        <f aca="false">SQRT(C41^2+D41^2)</f>
        <v>252.452470774203</v>
      </c>
      <c r="Q41" s="2" t="n">
        <f aca="false">ATAN(F41/P41)</f>
        <v>0.321212767810399</v>
      </c>
    </row>
    <row r="42" customFormat="false" ht="15.75" hidden="false" customHeight="true" outlineLevel="0" collapsed="false">
      <c r="B42" s="1" t="s">
        <v>51</v>
      </c>
      <c r="C42" s="7" t="n">
        <v>248.3</v>
      </c>
      <c r="D42" s="1" t="n">
        <v>-15</v>
      </c>
      <c r="E42" s="1" t="n">
        <v>15</v>
      </c>
      <c r="F42" s="0" t="n">
        <f aca="false">E42+69</f>
        <v>84</v>
      </c>
      <c r="G42" s="2"/>
      <c r="H42" s="2" t="n">
        <v>41</v>
      </c>
      <c r="I42" s="2" t="n">
        <f aca="false">C42/248.3</f>
        <v>1</v>
      </c>
      <c r="J42" s="2" t="n">
        <f aca="false">D42/315</f>
        <v>-0.0476190476190476</v>
      </c>
      <c r="K42" s="0" t="n">
        <f aca="false">F42/366</f>
        <v>0.229508196721311</v>
      </c>
      <c r="L42" s="2"/>
      <c r="M42" s="5" t="n">
        <v>270</v>
      </c>
      <c r="N42" s="5" t="n">
        <f aca="false">(Q42/PI())*-180</f>
        <v>-18.6590447661759</v>
      </c>
      <c r="O42" s="5"/>
      <c r="P42" s="2" t="n">
        <f aca="false">SQRT(C42^2+D42^2)</f>
        <v>248.752668327397</v>
      </c>
      <c r="Q42" s="2" t="n">
        <f aca="false">ATAN(F42/P42)</f>
        <v>0.325661766446786</v>
      </c>
    </row>
    <row r="43" customFormat="false" ht="15.75" hidden="false" customHeight="true" outlineLevel="0" collapsed="false">
      <c r="B43" s="1" t="s">
        <v>52</v>
      </c>
      <c r="C43" s="7" t="n">
        <v>248.3</v>
      </c>
      <c r="D43" s="1" t="n">
        <v>16.6</v>
      </c>
      <c r="E43" s="1" t="n">
        <v>15</v>
      </c>
      <c r="F43" s="0" t="n">
        <f aca="false">E43+69</f>
        <v>84</v>
      </c>
      <c r="G43" s="2"/>
      <c r="H43" s="2" t="n">
        <v>42</v>
      </c>
      <c r="I43" s="2" t="n">
        <f aca="false">C43/248.3</f>
        <v>1</v>
      </c>
      <c r="J43" s="2" t="n">
        <f aca="false">D43/315</f>
        <v>0.0526984126984127</v>
      </c>
      <c r="K43" s="0" t="n">
        <f aca="false">F43/366</f>
        <v>0.229508196721311</v>
      </c>
      <c r="L43" s="2"/>
      <c r="M43" s="5" t="n">
        <v>270</v>
      </c>
      <c r="N43" s="5" t="n">
        <f aca="false">(Q43/PI())*-180</f>
        <v>-18.6519533894593</v>
      </c>
      <c r="O43" s="5"/>
      <c r="P43" s="2" t="n">
        <f aca="false">SQRT(C43^2+D43^2)</f>
        <v>248.854274626738</v>
      </c>
      <c r="Q43" s="2" t="n">
        <f aca="false">ATAN(F43/P43)</f>
        <v>0.32553799857458</v>
      </c>
    </row>
    <row r="44" customFormat="false" ht="15.75" hidden="false" customHeight="true" outlineLevel="0" collapsed="false">
      <c r="B44" s="1" t="s">
        <v>53</v>
      </c>
      <c r="C44" s="7" t="n">
        <v>248.3</v>
      </c>
      <c r="D44" s="1" t="n">
        <v>49.2</v>
      </c>
      <c r="E44" s="1" t="n">
        <v>15</v>
      </c>
      <c r="F44" s="0" t="n">
        <f aca="false">E44+69</f>
        <v>84</v>
      </c>
      <c r="G44" s="2"/>
      <c r="H44" s="2" t="n">
        <v>43</v>
      </c>
      <c r="I44" s="2" t="n">
        <f aca="false">C44/248.3</f>
        <v>1</v>
      </c>
      <c r="J44" s="2" t="n">
        <f aca="false">D44/315</f>
        <v>0.156190476190476</v>
      </c>
      <c r="K44" s="0" t="n">
        <f aca="false">F44/366</f>
        <v>0.229508196721311</v>
      </c>
      <c r="L44" s="2"/>
      <c r="M44" s="5" t="n">
        <v>270</v>
      </c>
      <c r="N44" s="5" t="n">
        <f aca="false">(Q44/PI())*-180</f>
        <v>-18.3583515360343</v>
      </c>
      <c r="O44" s="5"/>
      <c r="P44" s="2" t="n">
        <f aca="false">SQRT(C44^2+D44^2)</f>
        <v>253.127497518543</v>
      </c>
      <c r="Q44" s="2" t="n">
        <f aca="false">ATAN(F44/P44)</f>
        <v>0.320413679542357</v>
      </c>
    </row>
    <row r="45" customFormat="false" ht="15.75" hidden="false" customHeight="true" outlineLevel="0" collapsed="false">
      <c r="B45" s="1" t="s">
        <v>54</v>
      </c>
      <c r="C45" s="7" t="n">
        <v>248.3</v>
      </c>
      <c r="D45" s="1" t="n">
        <v>79.9</v>
      </c>
      <c r="E45" s="1" t="n">
        <v>15</v>
      </c>
      <c r="F45" s="0" t="n">
        <f aca="false">E45+69</f>
        <v>84</v>
      </c>
      <c r="G45" s="2"/>
      <c r="H45" s="2" t="n">
        <v>44</v>
      </c>
      <c r="I45" s="2" t="n">
        <f aca="false">C45/248.3</f>
        <v>1</v>
      </c>
      <c r="J45" s="2" t="n">
        <f aca="false">D45/315</f>
        <v>0.253650793650794</v>
      </c>
      <c r="K45" s="0" t="n">
        <f aca="false">F45/366</f>
        <v>0.229508196721311</v>
      </c>
      <c r="L45" s="2"/>
      <c r="M45" s="5" t="n">
        <v>270</v>
      </c>
      <c r="N45" s="5" t="n">
        <f aca="false">(Q45/PI())*-180</f>
        <v>-17.8505276323099</v>
      </c>
      <c r="O45" s="5"/>
      <c r="P45" s="2" t="n">
        <f aca="false">SQRT(C45^2+D45^2)</f>
        <v>260.838839132519</v>
      </c>
      <c r="Q45" s="2" t="n">
        <f aca="false">ATAN(F45/P45)</f>
        <v>0.311550480402035</v>
      </c>
    </row>
    <row r="46" customFormat="false" ht="15.75" hidden="false" customHeight="true" outlineLevel="0" collapsed="false">
      <c r="B46" s="1" t="s">
        <v>55</v>
      </c>
      <c r="C46" s="7" t="n">
        <v>248.3</v>
      </c>
      <c r="D46" s="1" t="n">
        <v>111.5</v>
      </c>
      <c r="E46" s="1" t="n">
        <v>15</v>
      </c>
      <c r="F46" s="0" t="n">
        <f aca="false">E46+69</f>
        <v>84</v>
      </c>
      <c r="G46" s="2"/>
      <c r="H46" s="2" t="n">
        <v>45</v>
      </c>
      <c r="I46" s="2" t="n">
        <f aca="false">C46/248.3</f>
        <v>1</v>
      </c>
      <c r="J46" s="2" t="n">
        <f aca="false">D46/315</f>
        <v>0.353968253968254</v>
      </c>
      <c r="K46" s="0" t="n">
        <f aca="false">F46/366</f>
        <v>0.229508196721311</v>
      </c>
      <c r="L46" s="2"/>
      <c r="M46" s="5" t="n">
        <v>270</v>
      </c>
      <c r="N46" s="5" t="n">
        <f aca="false">(Q46/PI())*-180</f>
        <v>-17.1508879941836</v>
      </c>
      <c r="O46" s="5"/>
      <c r="P46" s="2" t="n">
        <f aca="false">SQRT(C46^2+D46^2)</f>
        <v>272.18585562075</v>
      </c>
      <c r="Q46" s="2" t="n">
        <f aca="false">ATAN(F46/P46)</f>
        <v>0.299339465139271</v>
      </c>
    </row>
    <row r="47" customFormat="false" ht="15.75" hidden="false" customHeight="true" outlineLevel="0" collapsed="false">
      <c r="B47" s="1" t="s">
        <v>56</v>
      </c>
      <c r="C47" s="7" t="n">
        <v>248.3</v>
      </c>
      <c r="D47" s="1" t="n">
        <v>145.1</v>
      </c>
      <c r="E47" s="1" t="n">
        <v>15</v>
      </c>
      <c r="F47" s="0" t="n">
        <f aca="false">E47+69</f>
        <v>84</v>
      </c>
      <c r="G47" s="2"/>
      <c r="H47" s="2" t="n">
        <v>46</v>
      </c>
      <c r="I47" s="2" t="n">
        <f aca="false">C47/248.3</f>
        <v>1</v>
      </c>
      <c r="J47" s="2" t="n">
        <f aca="false">D47/315</f>
        <v>0.460634920634921</v>
      </c>
      <c r="K47" s="0" t="n">
        <f aca="false">F47/366</f>
        <v>0.229508196721311</v>
      </c>
      <c r="L47" s="2"/>
      <c r="M47" s="5" t="n">
        <v>270</v>
      </c>
      <c r="N47" s="5" t="n">
        <f aca="false">(Q47/PI())*-180</f>
        <v>-16.2822619907586</v>
      </c>
      <c r="O47" s="5"/>
      <c r="P47" s="2" t="n">
        <f aca="false">SQRT(C47^2+D47^2)</f>
        <v>287.588073466199</v>
      </c>
      <c r="Q47" s="2" t="n">
        <f aca="false">ATAN(F47/P47)</f>
        <v>0.284179081411064</v>
      </c>
    </row>
    <row r="48" customFormat="false" ht="15.75" hidden="false" customHeight="true" outlineLevel="0" collapsed="false">
      <c r="B48" s="1" t="s">
        <v>57</v>
      </c>
      <c r="C48" s="7" t="n">
        <v>248.3</v>
      </c>
      <c r="D48" s="1" t="n">
        <v>174.7</v>
      </c>
      <c r="E48" s="1" t="n">
        <v>15</v>
      </c>
      <c r="F48" s="0" t="n">
        <f aca="false">E48+69</f>
        <v>84</v>
      </c>
      <c r="G48" s="2"/>
      <c r="H48" s="2" t="n">
        <v>47</v>
      </c>
      <c r="I48" s="2" t="n">
        <f aca="false">C48/248.3</f>
        <v>1</v>
      </c>
      <c r="J48" s="2" t="n">
        <f aca="false">D48/315</f>
        <v>0.554603174603175</v>
      </c>
      <c r="K48" s="0" t="n">
        <f aca="false">F48/366</f>
        <v>0.229508196721311</v>
      </c>
      <c r="L48" s="2"/>
      <c r="M48" s="5" t="n">
        <v>270</v>
      </c>
      <c r="N48" s="5" t="n">
        <f aca="false">(Q48/PI())*-180</f>
        <v>-15.4656920259525</v>
      </c>
      <c r="O48" s="5"/>
      <c r="P48" s="2" t="n">
        <f aca="false">SQRT(C48^2+D48^2)</f>
        <v>303.600032938075</v>
      </c>
      <c r="Q48" s="2" t="n">
        <f aca="false">ATAN(F48/P48)</f>
        <v>0.269927246952303</v>
      </c>
    </row>
    <row r="49" customFormat="false" ht="15.75" hidden="false" customHeight="true" outlineLevel="0" collapsed="false">
      <c r="B49" s="1" t="s">
        <v>58</v>
      </c>
      <c r="C49" s="7" t="n">
        <v>248.3</v>
      </c>
      <c r="D49" s="1" t="n">
        <v>206.3</v>
      </c>
      <c r="E49" s="1" t="n">
        <v>15</v>
      </c>
      <c r="F49" s="0" t="n">
        <f aca="false">E49+69</f>
        <v>84</v>
      </c>
      <c r="G49" s="2"/>
      <c r="H49" s="2" t="n">
        <v>48</v>
      </c>
      <c r="I49" s="2" t="n">
        <f aca="false">C49/248.3</f>
        <v>1</v>
      </c>
      <c r="J49" s="2" t="n">
        <f aca="false">D49/315</f>
        <v>0.654920634920635</v>
      </c>
      <c r="K49" s="0" t="n">
        <f aca="false">F49/366</f>
        <v>0.229508196721311</v>
      </c>
      <c r="L49" s="2"/>
      <c r="M49" s="5" t="n">
        <v>270</v>
      </c>
      <c r="N49" s="5" t="n">
        <f aca="false">(Q49/PI())*-180</f>
        <v>-14.5853324830505</v>
      </c>
      <c r="O49" s="5"/>
      <c r="P49" s="2" t="n">
        <f aca="false">SQRT(C49^2+D49^2)</f>
        <v>322.81973297802</v>
      </c>
      <c r="Q49" s="2" t="n">
        <f aca="false">ATAN(F49/P49)</f>
        <v>0.254562074327311</v>
      </c>
    </row>
    <row r="50" customFormat="false" ht="15.75" hidden="false" customHeight="true" outlineLevel="0" collapsed="false">
      <c r="B50" s="1" t="s">
        <v>59</v>
      </c>
      <c r="C50" s="7" t="n">
        <v>248.3</v>
      </c>
      <c r="D50" s="1" t="n">
        <v>239</v>
      </c>
      <c r="E50" s="1" t="n">
        <v>15</v>
      </c>
      <c r="F50" s="0" t="n">
        <f aca="false">E50+69</f>
        <v>84</v>
      </c>
      <c r="G50" s="2"/>
      <c r="H50" s="2" t="n">
        <v>49</v>
      </c>
      <c r="I50" s="2" t="n">
        <f aca="false">C50/248.3</f>
        <v>1</v>
      </c>
      <c r="J50" s="2" t="n">
        <f aca="false">D50/315</f>
        <v>0.758730158730159</v>
      </c>
      <c r="K50" s="0" t="n">
        <f aca="false">F50/366</f>
        <v>0.229508196721311</v>
      </c>
      <c r="L50" s="2"/>
      <c r="M50" s="5" t="n">
        <v>270</v>
      </c>
      <c r="N50" s="5" t="n">
        <f aca="false">(Q50/PI())*-180</f>
        <v>-13.6979330266688</v>
      </c>
      <c r="O50" s="5"/>
      <c r="P50" s="2" t="n">
        <f aca="false">SQRT(C50^2+D50^2)</f>
        <v>344.635880314282</v>
      </c>
      <c r="Q50" s="2" t="n">
        <f aca="false">ATAN(F50/P50)</f>
        <v>0.239074032033043</v>
      </c>
    </row>
    <row r="51" customFormat="false" ht="15.75" hidden="false" customHeight="true" outlineLevel="0" collapsed="false">
      <c r="B51" s="1" t="s">
        <v>60</v>
      </c>
      <c r="C51" s="7" t="n">
        <v>248.3</v>
      </c>
      <c r="D51" s="1" t="n">
        <v>269.6</v>
      </c>
      <c r="E51" s="1" t="n">
        <v>15</v>
      </c>
      <c r="F51" s="0" t="n">
        <f aca="false">E51+69</f>
        <v>84</v>
      </c>
      <c r="G51" s="2"/>
      <c r="H51" s="2" t="n">
        <v>50</v>
      </c>
      <c r="I51" s="2" t="n">
        <f aca="false">C51/248.3</f>
        <v>1</v>
      </c>
      <c r="J51" s="2" t="n">
        <f aca="false">D51/315</f>
        <v>0.855873015873016</v>
      </c>
      <c r="K51" s="0" t="n">
        <f aca="false">F51/366</f>
        <v>0.229508196721311</v>
      </c>
      <c r="L51" s="2"/>
      <c r="M51" s="5" t="n">
        <v>270</v>
      </c>
      <c r="N51" s="5" t="n">
        <f aca="false">(Q51/PI())*-180</f>
        <v>-12.9082685740285</v>
      </c>
      <c r="O51" s="5"/>
      <c r="P51" s="2" t="n">
        <f aca="false">SQRT(C51^2+D51^2)</f>
        <v>366.520190439763</v>
      </c>
      <c r="Q51" s="2" t="n">
        <f aca="false">ATAN(F51/P51)</f>
        <v>0.225291787348511</v>
      </c>
    </row>
    <row r="52" customFormat="false" ht="15.75" hidden="false" customHeight="true" outlineLevel="0" collapsed="false">
      <c r="B52" s="1" t="s">
        <v>61</v>
      </c>
      <c r="C52" s="1" t="n">
        <v>205.4</v>
      </c>
      <c r="D52" s="6" t="n">
        <v>296.2</v>
      </c>
      <c r="E52" s="1" t="n">
        <v>15</v>
      </c>
      <c r="F52" s="0" t="n">
        <f aca="false">E52+69</f>
        <v>84</v>
      </c>
      <c r="G52" s="2"/>
      <c r="H52" s="2" t="n">
        <v>51</v>
      </c>
      <c r="I52" s="2" t="n">
        <f aca="false">C52/248.3</f>
        <v>0.827225130890052</v>
      </c>
      <c r="J52" s="2" t="n">
        <f aca="false">D52/315</f>
        <v>0.94031746031746</v>
      </c>
      <c r="K52" s="0" t="n">
        <f aca="false">F52/366</f>
        <v>0.229508196721311</v>
      </c>
      <c r="L52" s="2"/>
      <c r="M52" s="5" t="n">
        <v>270</v>
      </c>
      <c r="N52" s="5" t="n">
        <f aca="false">(Q52/PI())*-180</f>
        <v>-13.1182220259348</v>
      </c>
      <c r="O52" s="5"/>
      <c r="P52" s="2" t="n">
        <f aca="false">SQRT(C52^2+D52^2)</f>
        <v>360.449164238177</v>
      </c>
      <c r="Q52" s="2" t="n">
        <f aca="false">ATAN(F52/P52)</f>
        <v>0.228956166360204</v>
      </c>
    </row>
    <row r="53" customFormat="false" ht="15.75" hidden="false" customHeight="true" outlineLevel="0" collapsed="false">
      <c r="B53" s="1" t="s">
        <v>62</v>
      </c>
      <c r="C53" s="1" t="n">
        <v>173.8</v>
      </c>
      <c r="D53" s="6" t="n">
        <v>296.2</v>
      </c>
      <c r="E53" s="1" t="n">
        <v>15</v>
      </c>
      <c r="F53" s="0" t="n">
        <f aca="false">E53+69</f>
        <v>84</v>
      </c>
      <c r="G53" s="2"/>
      <c r="H53" s="2" t="n">
        <v>52</v>
      </c>
      <c r="I53" s="2" t="n">
        <f aca="false">C53/248.3</f>
        <v>0.699959726137737</v>
      </c>
      <c r="J53" s="2" t="n">
        <f aca="false">D53/315</f>
        <v>0.94031746031746</v>
      </c>
      <c r="K53" s="0" t="n">
        <f aca="false">F53/366</f>
        <v>0.229508196721311</v>
      </c>
      <c r="L53" s="2"/>
      <c r="M53" s="5" t="n">
        <v>180</v>
      </c>
      <c r="N53" s="5" t="n">
        <f aca="false">(Q53/PI())*-180</f>
        <v>-13.7443935055767</v>
      </c>
      <c r="O53" s="5"/>
      <c r="P53" s="2" t="n">
        <f aca="false">SQRT(C53^2+D53^2)</f>
        <v>343.425217478274</v>
      </c>
      <c r="Q53" s="2" t="n">
        <f aca="false">ATAN(F53/P53)</f>
        <v>0.239884920362039</v>
      </c>
    </row>
    <row r="54" customFormat="false" ht="15.75" hidden="false" customHeight="true" outlineLevel="0" collapsed="false">
      <c r="B54" s="1" t="s">
        <v>63</v>
      </c>
      <c r="C54" s="1" t="n">
        <v>141.2</v>
      </c>
      <c r="D54" s="6" t="n">
        <v>296.2</v>
      </c>
      <c r="E54" s="1" t="n">
        <v>15</v>
      </c>
      <c r="F54" s="0" t="n">
        <f aca="false">E54+69</f>
        <v>84</v>
      </c>
      <c r="G54" s="2"/>
      <c r="H54" s="2" t="n">
        <v>53</v>
      </c>
      <c r="I54" s="2" t="n">
        <f aca="false">C54/248.3</f>
        <v>0.568666935159082</v>
      </c>
      <c r="J54" s="2" t="n">
        <f aca="false">D54/315</f>
        <v>0.94031746031746</v>
      </c>
      <c r="K54" s="0" t="n">
        <f aca="false">F54/366</f>
        <v>0.229508196721311</v>
      </c>
      <c r="L54" s="2"/>
      <c r="M54" s="5" t="n">
        <v>180</v>
      </c>
      <c r="N54" s="5" t="n">
        <f aca="false">(Q54/PI())*-180</f>
        <v>-14.3589616657275</v>
      </c>
      <c r="O54" s="5"/>
      <c r="P54" s="2" t="n">
        <f aca="false">SQRT(C54^2+D54^2)</f>
        <v>328.133936068795</v>
      </c>
      <c r="Q54" s="2" t="n">
        <f aca="false">ATAN(F54/P54)</f>
        <v>0.250611158234594</v>
      </c>
    </row>
    <row r="55" customFormat="false" ht="15.75" hidden="false" customHeight="true" outlineLevel="0" collapsed="false">
      <c r="B55" s="1" t="s">
        <v>64</v>
      </c>
      <c r="C55" s="1" t="n">
        <v>110.5</v>
      </c>
      <c r="D55" s="6" t="n">
        <v>296.2</v>
      </c>
      <c r="E55" s="1" t="n">
        <v>15</v>
      </c>
      <c r="F55" s="0" t="n">
        <f aca="false">E55+69</f>
        <v>84</v>
      </c>
      <c r="G55" s="2"/>
      <c r="H55" s="2" t="n">
        <v>54</v>
      </c>
      <c r="I55" s="2" t="n">
        <f aca="false">C55/248.3</f>
        <v>0.445026178010471</v>
      </c>
      <c r="J55" s="2" t="n">
        <f aca="false">D55/315</f>
        <v>0.94031746031746</v>
      </c>
      <c r="K55" s="0" t="n">
        <f aca="false">F55/366</f>
        <v>0.229508196721311</v>
      </c>
      <c r="L55" s="2"/>
      <c r="M55" s="5" t="n">
        <v>180</v>
      </c>
      <c r="N55" s="5" t="n">
        <f aca="false">(Q55/PI())*-180</f>
        <v>-14.8799535468049</v>
      </c>
      <c r="O55" s="5"/>
      <c r="P55" s="2" t="n">
        <f aca="false">SQRT(C55^2+D55^2)</f>
        <v>316.140301132266</v>
      </c>
      <c r="Q55" s="2" t="n">
        <f aca="false">ATAN(F55/P55)</f>
        <v>0.259704181935554</v>
      </c>
    </row>
    <row r="56" customFormat="false" ht="15.75" hidden="false" customHeight="true" outlineLevel="0" collapsed="false">
      <c r="B56" s="1" t="s">
        <v>65</v>
      </c>
      <c r="C56" s="1" t="n">
        <v>78.9</v>
      </c>
      <c r="D56" s="6" t="n">
        <v>296.2</v>
      </c>
      <c r="E56" s="1" t="n">
        <v>15</v>
      </c>
      <c r="F56" s="0" t="n">
        <f aca="false">E56+69</f>
        <v>84</v>
      </c>
      <c r="G56" s="2"/>
      <c r="H56" s="2" t="n">
        <v>55</v>
      </c>
      <c r="I56" s="2" t="n">
        <f aca="false">C56/248.3</f>
        <v>0.317760773258155</v>
      </c>
      <c r="J56" s="2" t="n">
        <f aca="false">D56/315</f>
        <v>0.94031746031746</v>
      </c>
      <c r="K56" s="0" t="n">
        <f aca="false">F56/366</f>
        <v>0.229508196721311</v>
      </c>
      <c r="L56" s="2"/>
      <c r="M56" s="5" t="n">
        <v>180</v>
      </c>
      <c r="N56" s="5" t="n">
        <f aca="false">(Q56/PI())*-180</f>
        <v>-15.3249214611684</v>
      </c>
      <c r="O56" s="5"/>
      <c r="P56" s="2" t="n">
        <f aca="false">SQRT(C56^2+D56^2)</f>
        <v>306.528383677597</v>
      </c>
      <c r="Q56" s="2" t="n">
        <f aca="false">ATAN(F56/P56)</f>
        <v>0.267470337106929</v>
      </c>
    </row>
    <row r="57" customFormat="false" ht="15.75" hidden="false" customHeight="true" outlineLevel="0" collapsed="false">
      <c r="B57" s="1" t="s">
        <v>66</v>
      </c>
      <c r="C57" s="1" t="n">
        <v>46.3</v>
      </c>
      <c r="D57" s="6" t="n">
        <v>296.2</v>
      </c>
      <c r="E57" s="1" t="n">
        <v>15</v>
      </c>
      <c r="F57" s="0" t="n">
        <f aca="false">E57+69</f>
        <v>84</v>
      </c>
      <c r="G57" s="2"/>
      <c r="H57" s="2" t="n">
        <v>56</v>
      </c>
      <c r="I57" s="2" t="n">
        <f aca="false">C57/248.3</f>
        <v>0.186467982279501</v>
      </c>
      <c r="J57" s="2" t="n">
        <f aca="false">D57/315</f>
        <v>0.94031746031746</v>
      </c>
      <c r="K57" s="0" t="n">
        <f aca="false">F57/366</f>
        <v>0.229508196721311</v>
      </c>
      <c r="L57" s="2"/>
      <c r="M57" s="5" t="n">
        <v>180</v>
      </c>
      <c r="N57" s="5" t="n">
        <f aca="false">(Q57/PI())*-180</f>
        <v>-15.652328418466</v>
      </c>
      <c r="O57" s="5"/>
      <c r="P57" s="2" t="n">
        <f aca="false">SQRT(C57^2+D57^2)</f>
        <v>299.796814526105</v>
      </c>
      <c r="Q57" s="2" t="n">
        <f aca="false">ATAN(F57/P57)</f>
        <v>0.273184666505708</v>
      </c>
    </row>
    <row r="58" customFormat="false" ht="15.75" hidden="false" customHeight="true" outlineLevel="0" collapsed="false">
      <c r="B58" s="1" t="s">
        <v>67</v>
      </c>
      <c r="C58" s="1" t="n">
        <v>15.7</v>
      </c>
      <c r="D58" s="6" t="n">
        <v>296.2</v>
      </c>
      <c r="E58" s="1" t="n">
        <v>15</v>
      </c>
      <c r="F58" s="0" t="n">
        <f aca="false">E58+69</f>
        <v>84</v>
      </c>
      <c r="G58" s="2"/>
      <c r="H58" s="2" t="n">
        <v>57</v>
      </c>
      <c r="I58" s="2" t="n">
        <f aca="false">C58/248.3</f>
        <v>0.063229963753524</v>
      </c>
      <c r="J58" s="2" t="n">
        <f aca="false">D58/315</f>
        <v>0.94031746031746</v>
      </c>
      <c r="K58" s="0" t="n">
        <f aca="false">F58/366</f>
        <v>0.229508196721311</v>
      </c>
      <c r="L58" s="2"/>
      <c r="M58" s="5" t="n">
        <v>180</v>
      </c>
      <c r="N58" s="5" t="n">
        <f aca="false">(Q58/PI())*-180</f>
        <v>-15.8118370615692</v>
      </c>
      <c r="O58" s="5"/>
      <c r="P58" s="2" t="n">
        <f aca="false">SQRT(C58^2+D58^2)</f>
        <v>296.61579526384</v>
      </c>
      <c r="Q58" s="2" t="n">
        <f aca="false">ATAN(F58/P58)</f>
        <v>0.275968617513247</v>
      </c>
    </row>
    <row r="59" customFormat="false" ht="15.75" hidden="false" customHeight="false" outlineLevel="0" collapsed="false">
      <c r="B59" s="1" t="s">
        <v>68</v>
      </c>
      <c r="C59" s="1" t="n">
        <v>-15.9</v>
      </c>
      <c r="D59" s="6" t="n">
        <v>296.2</v>
      </c>
      <c r="E59" s="1" t="n">
        <v>15</v>
      </c>
      <c r="F59" s="0" t="n">
        <f aca="false">E59+69</f>
        <v>84</v>
      </c>
      <c r="G59" s="2"/>
      <c r="H59" s="2" t="n">
        <v>58</v>
      </c>
      <c r="I59" s="2" t="n">
        <f aca="false">C59/248.3</f>
        <v>-0.0640354409987918</v>
      </c>
      <c r="J59" s="2" t="n">
        <f aca="false">D59/315</f>
        <v>0.94031746031746</v>
      </c>
      <c r="K59" s="0" t="n">
        <f aca="false">F59/366</f>
        <v>0.229508196721311</v>
      </c>
      <c r="L59" s="2"/>
      <c r="M59" s="5" t="n">
        <v>180</v>
      </c>
      <c r="N59" s="5" t="n">
        <f aca="false">(Q59/PI())*-180</f>
        <v>-15.8112975756806</v>
      </c>
      <c r="O59" s="5"/>
      <c r="P59" s="2" t="n">
        <f aca="false">SQRT(C59^2+D59^2)</f>
        <v>296.626448584748</v>
      </c>
      <c r="Q59" s="2" t="n">
        <f aca="false">ATAN(F59/P59)</f>
        <v>0.275959201708224</v>
      </c>
    </row>
    <row r="60" customFormat="false" ht="15.75" hidden="false" customHeight="false" outlineLevel="0" collapsed="false">
      <c r="B60" s="1" t="s">
        <v>69</v>
      </c>
      <c r="C60" s="1" t="n">
        <v>-48.6</v>
      </c>
      <c r="D60" s="6" t="n">
        <v>296.2</v>
      </c>
      <c r="E60" s="1" t="n">
        <v>15</v>
      </c>
      <c r="F60" s="0" t="n">
        <f aca="false">E60+69</f>
        <v>84</v>
      </c>
      <c r="G60" s="2"/>
      <c r="H60" s="2" t="n">
        <v>59</v>
      </c>
      <c r="I60" s="2" t="n">
        <f aca="false">C60/248.3</f>
        <v>-0.195730970600081</v>
      </c>
      <c r="J60" s="2" t="n">
        <f aca="false">D60/315</f>
        <v>0.94031746031746</v>
      </c>
      <c r="K60" s="0" t="n">
        <f aca="false">F60/366</f>
        <v>0.229508196721311</v>
      </c>
      <c r="L60" s="2"/>
      <c r="M60" s="5" t="n">
        <v>180</v>
      </c>
      <c r="N60" s="5" t="n">
        <f aca="false">(Q60/PI())*-180</f>
        <v>-15.6342853495947</v>
      </c>
      <c r="O60" s="5"/>
      <c r="P60" s="2" t="n">
        <f aca="false">SQRT(C60^2+D60^2)</f>
        <v>300.160623666729</v>
      </c>
      <c r="Q60" s="2" t="n">
        <f aca="false">ATAN(F60/P60)</f>
        <v>0.27286975554674</v>
      </c>
    </row>
    <row r="61" customFormat="false" ht="15.75" hidden="false" customHeight="false" outlineLevel="0" collapsed="false">
      <c r="B61" s="1" t="s">
        <v>70</v>
      </c>
      <c r="C61" s="1" t="n">
        <v>-79.2</v>
      </c>
      <c r="D61" s="6" t="n">
        <v>296.2</v>
      </c>
      <c r="E61" s="1" t="n">
        <v>15</v>
      </c>
      <c r="F61" s="0" t="n">
        <f aca="false">E61+69</f>
        <v>84</v>
      </c>
      <c r="G61" s="2"/>
      <c r="H61" s="2" t="n">
        <v>60</v>
      </c>
      <c r="I61" s="2" t="n">
        <f aca="false">C61/248.3</f>
        <v>-0.318968989126057</v>
      </c>
      <c r="J61" s="2" t="n">
        <f aca="false">D61/315</f>
        <v>0.94031746031746</v>
      </c>
      <c r="K61" s="0" t="n">
        <f aca="false">F61/366</f>
        <v>0.229508196721311</v>
      </c>
      <c r="L61" s="2"/>
      <c r="M61" s="5" t="n">
        <v>180</v>
      </c>
      <c r="N61" s="5" t="n">
        <f aca="false">(Q61/PI())*-180</f>
        <v>-15.321236703259</v>
      </c>
      <c r="O61" s="5"/>
      <c r="P61" s="2" t="n">
        <f aca="false">SQRT(C61^2+D61^2)</f>
        <v>306.605740324606</v>
      </c>
      <c r="Q61" s="2" t="n">
        <f aca="false">ATAN(F61/P61)</f>
        <v>0.267406025949271</v>
      </c>
    </row>
    <row r="62" customFormat="false" ht="15.75" hidden="false" customHeight="false" outlineLevel="0" collapsed="false">
      <c r="B62" s="1" t="s">
        <v>71</v>
      </c>
      <c r="C62" s="1" t="n">
        <v>-110.8</v>
      </c>
      <c r="D62" s="6" t="n">
        <v>296.2</v>
      </c>
      <c r="E62" s="1" t="n">
        <v>15</v>
      </c>
      <c r="F62" s="0" t="n">
        <f aca="false">E62+69</f>
        <v>84</v>
      </c>
      <c r="G62" s="2"/>
      <c r="H62" s="2" t="n">
        <v>61</v>
      </c>
      <c r="I62" s="2" t="n">
        <f aca="false">C62/248.3</f>
        <v>-0.446234393878373</v>
      </c>
      <c r="J62" s="2" t="n">
        <f aca="false">D62/315</f>
        <v>0.94031746031746</v>
      </c>
      <c r="K62" s="0" t="n">
        <f aca="false">F62/366</f>
        <v>0.229508196721311</v>
      </c>
      <c r="L62" s="2"/>
      <c r="M62" s="5" t="n">
        <v>180</v>
      </c>
      <c r="N62" s="5" t="n">
        <f aca="false">(Q62/PI())*-180</f>
        <v>-14.8752329016424</v>
      </c>
      <c r="O62" s="5"/>
      <c r="P62" s="2" t="n">
        <f aca="false">SQRT(C62^2+D62^2)</f>
        <v>316.245284549825</v>
      </c>
      <c r="Q62" s="2" t="n">
        <f aca="false">ATAN(F62/P62)</f>
        <v>0.25962179113465</v>
      </c>
    </row>
    <row r="63" customFormat="false" ht="15.75" hidden="false" customHeight="false" outlineLevel="0" collapsed="false">
      <c r="B63" s="1" t="s">
        <v>72</v>
      </c>
      <c r="C63" s="1" t="n">
        <v>-143.4</v>
      </c>
      <c r="D63" s="6" t="n">
        <v>296.2</v>
      </c>
      <c r="E63" s="1" t="n">
        <v>15</v>
      </c>
      <c r="F63" s="0" t="n">
        <f aca="false">E63+69</f>
        <v>84</v>
      </c>
      <c r="G63" s="2"/>
      <c r="H63" s="2" t="n">
        <v>62</v>
      </c>
      <c r="I63" s="2" t="n">
        <f aca="false">C63/248.3</f>
        <v>-0.577527184857028</v>
      </c>
      <c r="J63" s="2" t="n">
        <f aca="false">D63/315</f>
        <v>0.94031746031746</v>
      </c>
      <c r="K63" s="0" t="n">
        <f aca="false">F63/366</f>
        <v>0.229508196721311</v>
      </c>
      <c r="L63" s="2"/>
      <c r="M63" s="5" t="n">
        <v>180</v>
      </c>
      <c r="N63" s="5" t="n">
        <f aca="false">(Q63/PI())*-180</f>
        <v>-14.3191053104563</v>
      </c>
      <c r="O63" s="5"/>
      <c r="P63" s="2" t="n">
        <f aca="false">SQRT(C63^2+D63^2)</f>
        <v>329.08661473843</v>
      </c>
      <c r="Q63" s="2" t="n">
        <f aca="false">ATAN(F63/P63)</f>
        <v>0.249915533607268</v>
      </c>
    </row>
    <row r="64" customFormat="false" ht="15.75" hidden="false" customHeight="false" outlineLevel="0" collapsed="false">
      <c r="B64" s="1" t="s">
        <v>73</v>
      </c>
      <c r="C64" s="1" t="n">
        <v>-174</v>
      </c>
      <c r="D64" s="6" t="n">
        <v>296.2</v>
      </c>
      <c r="E64" s="1" t="n">
        <v>15</v>
      </c>
      <c r="F64" s="0" t="n">
        <f aca="false">E64+69</f>
        <v>84</v>
      </c>
      <c r="G64" s="2"/>
      <c r="H64" s="2" t="n">
        <v>63</v>
      </c>
      <c r="I64" s="2" t="n">
        <f aca="false">C64/248.3</f>
        <v>-0.700765203383004</v>
      </c>
      <c r="J64" s="2" t="n">
        <f aca="false">D64/315</f>
        <v>0.94031746031746</v>
      </c>
      <c r="K64" s="0" t="n">
        <f aca="false">F64/366</f>
        <v>0.229508196721311</v>
      </c>
      <c r="L64" s="2"/>
      <c r="M64" s="5" t="n">
        <v>180</v>
      </c>
      <c r="N64" s="5" t="n">
        <f aca="false">(Q64/PI())*-180</f>
        <v>-13.7404957436151</v>
      </c>
      <c r="O64" s="5"/>
      <c r="P64" s="2" t="n">
        <f aca="false">SQRT(C64^2+D64^2)</f>
        <v>343.526476417757</v>
      </c>
      <c r="Q64" s="2" t="n">
        <f aca="false">ATAN(F64/P64)</f>
        <v>0.23981689158235</v>
      </c>
    </row>
    <row r="65" customFormat="false" ht="15.75" hidden="false" customHeight="false" outlineLevel="0" collapsed="false">
      <c r="B65" s="1" t="s">
        <v>74</v>
      </c>
      <c r="C65" s="1" t="n">
        <v>-205.7</v>
      </c>
      <c r="D65" s="6" t="n">
        <v>296.2</v>
      </c>
      <c r="E65" s="1" t="n">
        <v>15</v>
      </c>
      <c r="F65" s="0" t="n">
        <f aca="false">E65+69</f>
        <v>84</v>
      </c>
      <c r="G65" s="2"/>
      <c r="H65" s="2" t="n">
        <v>64</v>
      </c>
      <c r="I65" s="2" t="n">
        <f aca="false">C65/248.3</f>
        <v>-0.828433346757954</v>
      </c>
      <c r="J65" s="2" t="n">
        <f aca="false">D65/315</f>
        <v>0.94031746031746</v>
      </c>
      <c r="K65" s="0" t="n">
        <f aca="false">F65/366</f>
        <v>0.229508196721311</v>
      </c>
      <c r="L65" s="2"/>
      <c r="M65" s="5" t="n">
        <v>180</v>
      </c>
      <c r="N65" s="5" t="n">
        <f aca="false">(Q65/PI())*-180</f>
        <v>-13.1122152381287</v>
      </c>
      <c r="O65" s="5"/>
      <c r="P65" s="2" t="n">
        <f aca="false">SQRT(C65^2+D65^2)</f>
        <v>360.620201874493</v>
      </c>
      <c r="Q65" s="2" t="n">
        <f aca="false">ATAN(F65/P65)</f>
        <v>0.228851328135517</v>
      </c>
    </row>
    <row r="66" customFormat="false" ht="15.75" hidden="false" customHeight="false" outlineLevel="0" collapsed="false">
      <c r="A66" s="2" t="s">
        <v>75</v>
      </c>
      <c r="B66" s="1" t="s">
        <v>76</v>
      </c>
      <c r="C66" s="8" t="n">
        <v>-241</v>
      </c>
      <c r="D66" s="1" t="n">
        <v>250.2</v>
      </c>
      <c r="E66" s="1" t="n">
        <v>105</v>
      </c>
      <c r="F66" s="0" t="n">
        <f aca="false">E66+69</f>
        <v>174</v>
      </c>
      <c r="G66" s="2"/>
      <c r="H66" s="2" t="n">
        <v>65</v>
      </c>
      <c r="I66" s="2" t="n">
        <f aca="false">C66/248.3</f>
        <v>-0.970600080547725</v>
      </c>
      <c r="J66" s="2" t="n">
        <f aca="false">D66/315</f>
        <v>0.794285714285714</v>
      </c>
      <c r="K66" s="0" t="n">
        <f aca="false">F66/366</f>
        <v>0.475409836065574</v>
      </c>
      <c r="L66" s="2"/>
      <c r="M66" s="5" t="n">
        <v>90</v>
      </c>
      <c r="N66" s="5" t="n">
        <f aca="false">(Q66/PI())*-180</f>
        <v>-26.6051637696678</v>
      </c>
      <c r="O66" s="5"/>
      <c r="P66" s="2" t="n">
        <f aca="false">SQRT(C66^2+D66^2)</f>
        <v>347.391767317534</v>
      </c>
      <c r="Q66" s="2" t="n">
        <f aca="false">ATAN(F66/P66)</f>
        <v>0.46434770581301</v>
      </c>
    </row>
    <row r="67" customFormat="false" ht="15.75" hidden="false" customHeight="false" outlineLevel="0" collapsed="false">
      <c r="B67" s="1" t="s">
        <v>77</v>
      </c>
      <c r="C67" s="8" t="n">
        <v>-241</v>
      </c>
      <c r="D67" s="1" t="n">
        <v>151.8</v>
      </c>
      <c r="E67" s="1" t="n">
        <v>105</v>
      </c>
      <c r="F67" s="0" t="n">
        <f aca="false">E67+69</f>
        <v>174</v>
      </c>
      <c r="G67" s="2"/>
      <c r="H67" s="2" t="n">
        <v>66</v>
      </c>
      <c r="I67" s="2" t="n">
        <f aca="false">C67/248.3</f>
        <v>-0.970600080547725</v>
      </c>
      <c r="J67" s="2" t="n">
        <f aca="false">D67/315</f>
        <v>0.481904761904762</v>
      </c>
      <c r="K67" s="0" t="n">
        <f aca="false">F67/366</f>
        <v>0.475409836065574</v>
      </c>
      <c r="L67" s="2"/>
      <c r="M67" s="5" t="n">
        <v>90</v>
      </c>
      <c r="N67" s="5" t="n">
        <f aca="false">(Q67/PI())*-180</f>
        <v>-31.4209811531991</v>
      </c>
      <c r="O67" s="5"/>
      <c r="P67" s="2" t="n">
        <f aca="false">SQRT(C67^2+D67^2)</f>
        <v>284.82317321454</v>
      </c>
      <c r="Q67" s="2" t="n">
        <f aca="false">ATAN(F67/P67)</f>
        <v>0.54839957533041</v>
      </c>
    </row>
    <row r="68" customFormat="false" ht="15.75" hidden="false" customHeight="false" outlineLevel="0" collapsed="false">
      <c r="B68" s="1" t="s">
        <v>78</v>
      </c>
      <c r="C68" s="8" t="n">
        <v>-241</v>
      </c>
      <c r="D68" s="1" t="n">
        <v>50.3</v>
      </c>
      <c r="E68" s="1" t="n">
        <v>105</v>
      </c>
      <c r="F68" s="0" t="n">
        <f aca="false">E68+69</f>
        <v>174</v>
      </c>
      <c r="G68" s="2"/>
      <c r="H68" s="2" t="n">
        <v>67</v>
      </c>
      <c r="I68" s="2" t="n">
        <f aca="false">C68/248.3</f>
        <v>-0.970600080547725</v>
      </c>
      <c r="J68" s="2" t="n">
        <f aca="false">D68/315</f>
        <v>0.15968253968254</v>
      </c>
      <c r="K68" s="0" t="n">
        <f aca="false">F68/366</f>
        <v>0.475409836065574</v>
      </c>
      <c r="L68" s="2"/>
      <c r="M68" s="5" t="n">
        <v>90</v>
      </c>
      <c r="N68" s="5" t="n">
        <f aca="false">(Q68/PI())*-180</f>
        <v>-35.2512185009514</v>
      </c>
      <c r="O68" s="5"/>
      <c r="P68" s="2" t="n">
        <f aca="false">SQRT(C68^2+D68^2)</f>
        <v>246.193196494135</v>
      </c>
      <c r="Q68" s="2" t="n">
        <f aca="false">ATAN(F68/P68)</f>
        <v>0.615249828181541</v>
      </c>
    </row>
    <row r="69" customFormat="false" ht="15.75" hidden="false" customHeight="false" outlineLevel="0" collapsed="false">
      <c r="B69" s="1" t="s">
        <v>79</v>
      </c>
      <c r="C69" s="8" t="n">
        <v>-241</v>
      </c>
      <c r="D69" s="1" t="n">
        <v>-51.1</v>
      </c>
      <c r="E69" s="1" t="n">
        <v>105</v>
      </c>
      <c r="F69" s="0" t="n">
        <f aca="false">E69+69</f>
        <v>174</v>
      </c>
      <c r="G69" s="2"/>
      <c r="H69" s="2" t="n">
        <v>68</v>
      </c>
      <c r="I69" s="2" t="n">
        <f aca="false">C69/248.3</f>
        <v>-0.970600080547725</v>
      </c>
      <c r="J69" s="2" t="n">
        <f aca="false">D69/315</f>
        <v>-0.162222222222222</v>
      </c>
      <c r="K69" s="0" t="n">
        <f aca="false">F69/366</f>
        <v>0.475409836065574</v>
      </c>
      <c r="L69" s="2"/>
      <c r="M69" s="5" t="n">
        <v>90</v>
      </c>
      <c r="N69" s="5" t="n">
        <f aca="false">(Q69/PI())*-180</f>
        <v>-35.2331612088001</v>
      </c>
      <c r="O69" s="5"/>
      <c r="P69" s="2" t="n">
        <f aca="false">SQRT(C69^2+D69^2)</f>
        <v>246.357890070523</v>
      </c>
      <c r="Q69" s="2" t="n">
        <f aca="false">ATAN(F69/P69)</f>
        <v>0.614934668979506</v>
      </c>
    </row>
    <row r="70" customFormat="false" ht="15.75" hidden="false" customHeight="false" outlineLevel="0" collapsed="false">
      <c r="B70" s="1" t="s">
        <v>80</v>
      </c>
      <c r="C70" s="8" t="n">
        <v>-241</v>
      </c>
      <c r="D70" s="1" t="n">
        <v>-153.6</v>
      </c>
      <c r="E70" s="1" t="n">
        <v>105</v>
      </c>
      <c r="F70" s="0" t="n">
        <f aca="false">E70+69</f>
        <v>174</v>
      </c>
      <c r="G70" s="2"/>
      <c r="H70" s="2" t="n">
        <v>69</v>
      </c>
      <c r="I70" s="2" t="n">
        <f aca="false">C70/248.3</f>
        <v>-0.970600080547725</v>
      </c>
      <c r="J70" s="2" t="n">
        <f aca="false">D70/315</f>
        <v>-0.487619047619048</v>
      </c>
      <c r="K70" s="0" t="n">
        <f aca="false">F70/366</f>
        <v>0.475409836065574</v>
      </c>
      <c r="L70" s="2"/>
      <c r="M70" s="5" t="n">
        <v>90</v>
      </c>
      <c r="N70" s="5" t="n">
        <f aca="false">(Q70/PI())*-180</f>
        <v>-31.3349770109613</v>
      </c>
      <c r="O70" s="5"/>
      <c r="P70" s="2" t="n">
        <f aca="false">SQRT(C70^2+D70^2)</f>
        <v>285.786563714951</v>
      </c>
      <c r="Q70" s="2" t="n">
        <f aca="false">ATAN(F70/P70)</f>
        <v>0.546898519878005</v>
      </c>
    </row>
    <row r="71" customFormat="false" ht="15.75" hidden="false" customHeight="false" outlineLevel="0" collapsed="false">
      <c r="B71" s="1" t="s">
        <v>81</v>
      </c>
      <c r="C71" s="8" t="n">
        <v>-241</v>
      </c>
      <c r="D71" s="1" t="n">
        <v>-252</v>
      </c>
      <c r="E71" s="1" t="n">
        <v>105</v>
      </c>
      <c r="F71" s="0" t="n">
        <f aca="false">E71+69</f>
        <v>174</v>
      </c>
      <c r="G71" s="2"/>
      <c r="H71" s="2" t="n">
        <v>70</v>
      </c>
      <c r="I71" s="2" t="n">
        <f aca="false">C71/248.3</f>
        <v>-0.970600080547725</v>
      </c>
      <c r="J71" s="2" t="n">
        <f aca="false">D71/315</f>
        <v>-0.8</v>
      </c>
      <c r="K71" s="0" t="n">
        <f aca="false">F71/366</f>
        <v>0.475409836065574</v>
      </c>
      <c r="L71" s="2"/>
      <c r="M71" s="5" t="n">
        <v>90</v>
      </c>
      <c r="N71" s="5" t="n">
        <f aca="false">(Q71/PI())*-180</f>
        <v>-26.5196549464503</v>
      </c>
      <c r="O71" s="5"/>
      <c r="P71" s="2" t="n">
        <f aca="false">SQRT(C71^2+D71^2)</f>
        <v>348.69040709489</v>
      </c>
      <c r="Q71" s="2" t="n">
        <f aca="false">ATAN(F71/P71)</f>
        <v>0.462855295308357</v>
      </c>
    </row>
    <row r="72" customFormat="false" ht="15.75" hidden="false" customHeight="false" outlineLevel="0" collapsed="false">
      <c r="B72" s="1" t="s">
        <v>82</v>
      </c>
      <c r="C72" s="1" t="n">
        <v>-152.4</v>
      </c>
      <c r="D72" s="4" t="n">
        <v>-291.8</v>
      </c>
      <c r="E72" s="1" t="n">
        <v>105</v>
      </c>
      <c r="F72" s="0" t="n">
        <f aca="false">E72+69</f>
        <v>174</v>
      </c>
      <c r="G72" s="2"/>
      <c r="H72" s="2" t="n">
        <v>71</v>
      </c>
      <c r="I72" s="2" t="n">
        <f aca="false">C72/248.3</f>
        <v>-0.61377366089408</v>
      </c>
      <c r="J72" s="2" t="n">
        <f aca="false">D72/315</f>
        <v>-0.926349206349206</v>
      </c>
      <c r="K72" s="0" t="n">
        <f aca="false">F72/366</f>
        <v>0.475409836065574</v>
      </c>
      <c r="L72" s="2"/>
      <c r="M72" s="5" t="n">
        <v>0</v>
      </c>
      <c r="N72" s="5" t="n">
        <f aca="false">(Q72/PI())*-180</f>
        <v>-27.8588340131097</v>
      </c>
      <c r="O72" s="5"/>
      <c r="P72" s="2" t="n">
        <f aca="false">SQRT(C72^2+D72^2)</f>
        <v>329.200546779619</v>
      </c>
      <c r="Q72" s="2" t="n">
        <f aca="false">ATAN(F72/P72)</f>
        <v>0.48622837929535</v>
      </c>
    </row>
    <row r="73" customFormat="false" ht="15.75" hidden="false" customHeight="false" outlineLevel="0" collapsed="false">
      <c r="B73" s="1" t="s">
        <v>83</v>
      </c>
      <c r="C73" s="1" t="n">
        <v>-52</v>
      </c>
      <c r="D73" s="4" t="n">
        <v>-291.8</v>
      </c>
      <c r="E73" s="1" t="n">
        <v>105</v>
      </c>
      <c r="F73" s="0" t="n">
        <f aca="false">E73+69</f>
        <v>174</v>
      </c>
      <c r="G73" s="2"/>
      <c r="H73" s="2" t="n">
        <v>72</v>
      </c>
      <c r="I73" s="2" t="n">
        <f aca="false">C73/248.3</f>
        <v>-0.209424083769634</v>
      </c>
      <c r="J73" s="2" t="n">
        <f aca="false">D73/315</f>
        <v>-0.926349206349206</v>
      </c>
      <c r="K73" s="0" t="n">
        <f aca="false">F73/366</f>
        <v>0.475409836065574</v>
      </c>
      <c r="L73" s="2"/>
      <c r="M73" s="5" t="n">
        <v>0</v>
      </c>
      <c r="N73" s="5" t="n">
        <f aca="false">(Q73/PI())*-180</f>
        <v>-30.4150766003347</v>
      </c>
      <c r="O73" s="5"/>
      <c r="P73" s="2" t="n">
        <f aca="false">SQRT(C73^2+D73^2)</f>
        <v>296.397098501318</v>
      </c>
      <c r="Q73" s="2" t="n">
        <f aca="false">ATAN(F73/P73)</f>
        <v>0.530843228922123</v>
      </c>
    </row>
    <row r="74" customFormat="false" ht="15.75" hidden="false" customHeight="false" outlineLevel="0" collapsed="false">
      <c r="B74" s="1" t="s">
        <v>84</v>
      </c>
      <c r="C74" s="1" t="n">
        <v>52.5</v>
      </c>
      <c r="D74" s="4" t="n">
        <v>-291.8</v>
      </c>
      <c r="E74" s="1" t="n">
        <v>105</v>
      </c>
      <c r="F74" s="0" t="n">
        <f aca="false">E74+69</f>
        <v>174</v>
      </c>
      <c r="G74" s="2"/>
      <c r="H74" s="2" t="n">
        <v>73</v>
      </c>
      <c r="I74" s="2" t="n">
        <f aca="false">C74/248.3</f>
        <v>0.211437776882803</v>
      </c>
      <c r="J74" s="2" t="n">
        <f aca="false">D74/315</f>
        <v>-0.926349206349206</v>
      </c>
      <c r="K74" s="0" t="n">
        <f aca="false">F74/366</f>
        <v>0.475409836065574</v>
      </c>
      <c r="L74" s="2"/>
      <c r="M74" s="5" t="n">
        <v>0</v>
      </c>
      <c r="N74" s="5" t="n">
        <f aca="false">(Q74/PI())*-180</f>
        <v>-30.4076405282942</v>
      </c>
      <c r="O74" s="5"/>
      <c r="P74" s="2" t="n">
        <f aca="false">SQRT(C74^2+D74^2)</f>
        <v>296.485227287971</v>
      </c>
      <c r="Q74" s="2" t="n">
        <f aca="false">ATAN(F74/P74)</f>
        <v>0.530713444981602</v>
      </c>
    </row>
    <row r="75" customFormat="false" ht="15.75" hidden="false" customHeight="false" outlineLevel="0" collapsed="false">
      <c r="B75" s="1" t="s">
        <v>85</v>
      </c>
      <c r="C75" s="1" t="n">
        <v>150.9</v>
      </c>
      <c r="D75" s="4" t="n">
        <v>-291.8</v>
      </c>
      <c r="E75" s="1" t="n">
        <v>105</v>
      </c>
      <c r="F75" s="0" t="n">
        <f aca="false">E75+69</f>
        <v>174</v>
      </c>
      <c r="G75" s="2"/>
      <c r="H75" s="2" t="n">
        <v>74</v>
      </c>
      <c r="I75" s="2" t="n">
        <f aca="false">C75/248.3</f>
        <v>0.607732581554571</v>
      </c>
      <c r="J75" s="2" t="n">
        <f aca="false">D75/315</f>
        <v>-0.926349206349206</v>
      </c>
      <c r="K75" s="0" t="n">
        <f aca="false">F75/366</f>
        <v>0.475409836065574</v>
      </c>
      <c r="L75" s="2"/>
      <c r="M75" s="5" t="n">
        <v>0</v>
      </c>
      <c r="N75" s="5" t="n">
        <f aca="false">(Q75/PI())*-180</f>
        <v>-27.9086534173193</v>
      </c>
      <c r="O75" s="5"/>
      <c r="P75" s="2" t="n">
        <f aca="false">SQRT(C75^2+D75^2)</f>
        <v>328.508827887471</v>
      </c>
      <c r="Q75" s="2" t="n">
        <f aca="false">ATAN(F75/P75)</f>
        <v>0.487097891930189</v>
      </c>
    </row>
    <row r="76" customFormat="false" ht="15.75" hidden="false" customHeight="false" outlineLevel="0" collapsed="false">
      <c r="B76" s="1" t="s">
        <v>86</v>
      </c>
      <c r="C76" s="7" t="n">
        <v>241.4</v>
      </c>
      <c r="D76" s="1" t="n">
        <v>-252</v>
      </c>
      <c r="E76" s="1" t="n">
        <v>105</v>
      </c>
      <c r="F76" s="0" t="n">
        <f aca="false">E76+69</f>
        <v>174</v>
      </c>
      <c r="G76" s="2"/>
      <c r="H76" s="2" t="n">
        <v>75</v>
      </c>
      <c r="I76" s="2" t="n">
        <f aca="false">C76/248.3</f>
        <v>0.97221103503826</v>
      </c>
      <c r="J76" s="2" t="n">
        <f aca="false">D76/315</f>
        <v>-0.8</v>
      </c>
      <c r="K76" s="0" t="n">
        <f aca="false">F76/366</f>
        <v>0.475409836065574</v>
      </c>
      <c r="L76" s="2"/>
      <c r="M76" s="5" t="n">
        <v>270</v>
      </c>
      <c r="N76" s="5" t="n">
        <f aca="false">(Q76/PI())*-180</f>
        <v>-26.5015091940776</v>
      </c>
      <c r="O76" s="5"/>
      <c r="P76" s="2" t="n">
        <f aca="false">SQRT(C76^2+D76^2)</f>
        <v>348.966989842879</v>
      </c>
      <c r="Q76" s="2" t="n">
        <f aca="false">ATAN(F76/P76)</f>
        <v>0.462538592184203</v>
      </c>
    </row>
    <row r="77" customFormat="false" ht="15.75" hidden="false" customHeight="false" outlineLevel="0" collapsed="false">
      <c r="B77" s="1" t="s">
        <v>87</v>
      </c>
      <c r="C77" s="7" t="n">
        <v>241.4</v>
      </c>
      <c r="D77" s="1" t="n">
        <v>-154.6</v>
      </c>
      <c r="E77" s="1" t="n">
        <v>105</v>
      </c>
      <c r="F77" s="0" t="n">
        <f aca="false">E77+69</f>
        <v>174</v>
      </c>
      <c r="G77" s="2"/>
      <c r="H77" s="2" t="n">
        <v>76</v>
      </c>
      <c r="I77" s="2" t="n">
        <f aca="false">C77/248.3</f>
        <v>0.97221103503826</v>
      </c>
      <c r="J77" s="2" t="n">
        <f aca="false">D77/315</f>
        <v>-0.490793650793651</v>
      </c>
      <c r="K77" s="0" t="n">
        <f aca="false">F77/366</f>
        <v>0.475409836065574</v>
      </c>
      <c r="L77" s="2"/>
      <c r="M77" s="5" t="n">
        <v>270</v>
      </c>
      <c r="N77" s="5" t="n">
        <f aca="false">(Q77/PI())*-180</f>
        <v>-31.257188034505</v>
      </c>
      <c r="O77" s="5"/>
      <c r="P77" s="2" t="n">
        <f aca="false">SQRT(C77^2+D77^2)</f>
        <v>286.66203097027</v>
      </c>
      <c r="Q77" s="2" t="n">
        <f aca="false">ATAN(F77/P77)</f>
        <v>0.545540846117087</v>
      </c>
    </row>
    <row r="78" customFormat="false" ht="15.75" hidden="false" customHeight="false" outlineLevel="0" collapsed="false">
      <c r="B78" s="1" t="s">
        <v>88</v>
      </c>
      <c r="C78" s="7" t="n">
        <v>241.4</v>
      </c>
      <c r="D78" s="1" t="n">
        <v>-50.1</v>
      </c>
      <c r="E78" s="1" t="n">
        <v>105</v>
      </c>
      <c r="F78" s="0" t="n">
        <f aca="false">E78+69</f>
        <v>174</v>
      </c>
      <c r="G78" s="2"/>
      <c r="H78" s="2" t="n">
        <v>77</v>
      </c>
      <c r="I78" s="2" t="n">
        <f aca="false">C78/248.3</f>
        <v>0.97221103503826</v>
      </c>
      <c r="J78" s="2" t="n">
        <f aca="false">D78/315</f>
        <v>-0.159047619047619</v>
      </c>
      <c r="K78" s="0" t="n">
        <f aca="false">F78/366</f>
        <v>0.475409836065574</v>
      </c>
      <c r="L78" s="2"/>
      <c r="M78" s="5" t="n">
        <v>270</v>
      </c>
      <c r="N78" s="5" t="n">
        <f aca="false">(Q78/PI())*-180</f>
        <v>-35.2127693794205</v>
      </c>
      <c r="O78" s="5"/>
      <c r="P78" s="2" t="n">
        <f aca="false">SQRT(C78^2+D78^2)</f>
        <v>246.544052858713</v>
      </c>
      <c r="Q78" s="2" t="n">
        <f aca="false">ATAN(F78/P78)</f>
        <v>0.614578764416327</v>
      </c>
    </row>
    <row r="79" customFormat="false" ht="15.75" hidden="false" customHeight="false" outlineLevel="0" collapsed="false">
      <c r="B79" s="1" t="s">
        <v>89</v>
      </c>
      <c r="C79" s="7" t="n">
        <v>241.4</v>
      </c>
      <c r="D79" s="1" t="n">
        <v>49.3</v>
      </c>
      <c r="E79" s="1" t="n">
        <v>105</v>
      </c>
      <c r="F79" s="0" t="n">
        <f aca="false">E79+69</f>
        <v>174</v>
      </c>
      <c r="G79" s="2"/>
      <c r="H79" s="2" t="n">
        <v>78</v>
      </c>
      <c r="I79" s="2" t="n">
        <f aca="false">C79/248.3</f>
        <v>0.97221103503826</v>
      </c>
      <c r="J79" s="2" t="n">
        <f aca="false">D79/315</f>
        <v>0.156507936507937</v>
      </c>
      <c r="K79" s="0" t="n">
        <f aca="false">F79/366</f>
        <v>0.475409836065574</v>
      </c>
      <c r="L79" s="2"/>
      <c r="M79" s="5" t="n">
        <v>270</v>
      </c>
      <c r="N79" s="5" t="n">
        <f aca="false">(Q79/PI())*-180</f>
        <v>-35.2304390336351</v>
      </c>
      <c r="O79" s="5"/>
      <c r="P79" s="2" t="n">
        <f aca="false">SQRT(C79^2+D79^2)</f>
        <v>246.382730725999</v>
      </c>
      <c r="Q79" s="2" t="n">
        <f aca="false">ATAN(F79/P79)</f>
        <v>0.614887158060062</v>
      </c>
    </row>
    <row r="80" customFormat="false" ht="15.75" hidden="false" customHeight="false" outlineLevel="0" collapsed="false">
      <c r="B80" s="1" t="s">
        <v>90</v>
      </c>
      <c r="C80" s="7" t="n">
        <v>241.4</v>
      </c>
      <c r="D80" s="1" t="n">
        <v>149.8</v>
      </c>
      <c r="E80" s="1" t="n">
        <v>105</v>
      </c>
      <c r="F80" s="0" t="n">
        <f aca="false">E80+69</f>
        <v>174</v>
      </c>
      <c r="G80" s="2"/>
      <c r="H80" s="2" t="n">
        <v>79</v>
      </c>
      <c r="I80" s="2" t="n">
        <f aca="false">C80/248.3</f>
        <v>0.97221103503826</v>
      </c>
      <c r="J80" s="2" t="n">
        <f aca="false">D80/315</f>
        <v>0.475555555555556</v>
      </c>
      <c r="K80" s="0" t="n">
        <f aca="false">F80/366</f>
        <v>0.475409836065574</v>
      </c>
      <c r="L80" s="2"/>
      <c r="M80" s="5" t="n">
        <v>270</v>
      </c>
      <c r="N80" s="5" t="n">
        <f aca="false">(Q80/PI())*-180</f>
        <v>-31.4856313371611</v>
      </c>
      <c r="O80" s="5"/>
      <c r="P80" s="2" t="n">
        <f aca="false">SQRT(C80^2+D80^2)</f>
        <v>284.102094325262</v>
      </c>
      <c r="Q80" s="2" t="n">
        <f aca="false">ATAN(F80/P80)</f>
        <v>0.549527933902566</v>
      </c>
    </row>
    <row r="81" customFormat="false" ht="15.75" hidden="false" customHeight="false" outlineLevel="0" collapsed="false">
      <c r="B81" s="1" t="s">
        <v>91</v>
      </c>
      <c r="C81" s="7" t="n">
        <v>241.4</v>
      </c>
      <c r="D81" s="1" t="n">
        <v>250.2</v>
      </c>
      <c r="E81" s="1" t="n">
        <v>105</v>
      </c>
      <c r="F81" s="0" t="n">
        <f aca="false">E81+69</f>
        <v>174</v>
      </c>
      <c r="G81" s="2"/>
      <c r="H81" s="2" t="n">
        <v>80</v>
      </c>
      <c r="I81" s="2" t="n">
        <f aca="false">C81/248.3</f>
        <v>0.97221103503826</v>
      </c>
      <c r="J81" s="2" t="n">
        <f aca="false">D81/315</f>
        <v>0.794285714285714</v>
      </c>
      <c r="K81" s="0" t="n">
        <f aca="false">F81/366</f>
        <v>0.475409836065574</v>
      </c>
      <c r="L81" s="2"/>
      <c r="M81" s="5" t="n">
        <v>270</v>
      </c>
      <c r="N81" s="5" t="n">
        <f aca="false">(Q81/PI())*-180</f>
        <v>-26.5868412413252</v>
      </c>
      <c r="O81" s="5"/>
      <c r="P81" s="2" t="n">
        <f aca="false">SQRT(C81^2+D81^2)</f>
        <v>347.669383178905</v>
      </c>
      <c r="Q81" s="2" t="n">
        <f aca="false">ATAN(F81/P81)</f>
        <v>0.464027917366141</v>
      </c>
    </row>
    <row r="82" customFormat="false" ht="15.75" hidden="false" customHeight="false" outlineLevel="0" collapsed="false">
      <c r="B82" s="1" t="s">
        <v>92</v>
      </c>
      <c r="C82" s="1" t="n">
        <v>153.9</v>
      </c>
      <c r="D82" s="6" t="n">
        <v>291</v>
      </c>
      <c r="E82" s="1" t="n">
        <v>105</v>
      </c>
      <c r="F82" s="0" t="n">
        <f aca="false">E82+69</f>
        <v>174</v>
      </c>
      <c r="G82" s="2"/>
      <c r="H82" s="2" t="n">
        <v>81</v>
      </c>
      <c r="I82" s="2" t="n">
        <f aca="false">C82/248.3</f>
        <v>0.619814740233588</v>
      </c>
      <c r="J82" s="2" t="n">
        <f aca="false">D82/315</f>
        <v>0.923809523809524</v>
      </c>
      <c r="K82" s="0" t="n">
        <f aca="false">F82/366</f>
        <v>0.475409836065574</v>
      </c>
      <c r="L82" s="2"/>
      <c r="M82" s="5" t="n">
        <v>180</v>
      </c>
      <c r="N82" s="5" t="n">
        <f aca="false">(Q82/PI())*-180</f>
        <v>-27.8595755825204</v>
      </c>
      <c r="O82" s="5"/>
      <c r="P82" s="2" t="n">
        <f aca="false">SQRT(C82^2+D82^2)</f>
        <v>329.190233755499</v>
      </c>
      <c r="Q82" s="2" t="n">
        <f aca="false">ATAN(F82/P82)</f>
        <v>0.486241322123198</v>
      </c>
    </row>
    <row r="83" customFormat="false" ht="15.75" hidden="false" customHeight="false" outlineLevel="0" collapsed="false">
      <c r="B83" s="1" t="s">
        <v>93</v>
      </c>
      <c r="C83" s="1" t="n">
        <v>51.5</v>
      </c>
      <c r="D83" s="6" t="n">
        <v>291</v>
      </c>
      <c r="E83" s="1" t="n">
        <v>105</v>
      </c>
      <c r="F83" s="0" t="n">
        <f aca="false">E83+69</f>
        <v>174</v>
      </c>
      <c r="G83" s="2"/>
      <c r="H83" s="2" t="n">
        <v>82</v>
      </c>
      <c r="I83" s="2" t="n">
        <f aca="false">C83/248.3</f>
        <v>0.207410390656464</v>
      </c>
      <c r="J83" s="2" t="n">
        <f aca="false">D83/315</f>
        <v>0.923809523809524</v>
      </c>
      <c r="K83" s="0" t="n">
        <f aca="false">F83/366</f>
        <v>0.475409836065574</v>
      </c>
      <c r="L83" s="2"/>
      <c r="M83" s="5" t="n">
        <v>180</v>
      </c>
      <c r="N83" s="5" t="n">
        <f aca="false">(Q83/PI())*-180</f>
        <v>-30.4890942445579</v>
      </c>
      <c r="O83" s="5"/>
      <c r="P83" s="2" t="n">
        <f aca="false">SQRT(C83^2+D83^2)</f>
        <v>295.521995797267</v>
      </c>
      <c r="Q83" s="2" t="n">
        <f aca="false">ATAN(F83/P83)</f>
        <v>0.532135080518388</v>
      </c>
    </row>
    <row r="84" customFormat="false" ht="15.75" hidden="false" customHeight="false" outlineLevel="0" collapsed="false">
      <c r="B84" s="1" t="s">
        <v>94</v>
      </c>
      <c r="C84" s="1" t="n">
        <v>-50</v>
      </c>
      <c r="D84" s="6" t="n">
        <v>291</v>
      </c>
      <c r="E84" s="1" t="n">
        <v>105</v>
      </c>
      <c r="F84" s="0" t="n">
        <f aca="false">E84+69</f>
        <v>174</v>
      </c>
      <c r="G84" s="2"/>
      <c r="H84" s="2" t="n">
        <v>83</v>
      </c>
      <c r="I84" s="2" t="n">
        <f aca="false">C84/248.3</f>
        <v>-0.201369311316955</v>
      </c>
      <c r="J84" s="2" t="n">
        <f aca="false">D84/315</f>
        <v>0.923809523809524</v>
      </c>
      <c r="K84" s="0" t="n">
        <f aca="false">F84/366</f>
        <v>0.475409836065574</v>
      </c>
      <c r="L84" s="2"/>
      <c r="M84" s="5" t="n">
        <v>180</v>
      </c>
      <c r="N84" s="5" t="n">
        <f aca="false">(Q84/PI())*-180</f>
        <v>-30.5109536626225</v>
      </c>
      <c r="O84" s="5"/>
      <c r="P84" s="2" t="n">
        <f aca="false">SQRT(C84^2+D84^2)</f>
        <v>295.26428839262</v>
      </c>
      <c r="Q84" s="2" t="n">
        <f aca="false">ATAN(F84/P84)</f>
        <v>0.532516599336185</v>
      </c>
    </row>
    <row r="85" customFormat="false" ht="15.75" hidden="false" customHeight="false" outlineLevel="0" collapsed="false">
      <c r="B85" s="1" t="s">
        <v>95</v>
      </c>
      <c r="C85" s="1" t="n">
        <v>-150.4</v>
      </c>
      <c r="D85" s="6" t="n">
        <v>291</v>
      </c>
      <c r="E85" s="1" t="n">
        <v>105</v>
      </c>
      <c r="F85" s="0" t="n">
        <f aca="false">E85+69</f>
        <v>174</v>
      </c>
      <c r="G85" s="2"/>
      <c r="H85" s="2" t="n">
        <v>84</v>
      </c>
      <c r="I85" s="2" t="n">
        <f aca="false">C85/248.3</f>
        <v>-0.605718888441402</v>
      </c>
      <c r="J85" s="2" t="n">
        <f aca="false">D85/315</f>
        <v>0.923809523809524</v>
      </c>
      <c r="K85" s="0" t="n">
        <f aca="false">F85/366</f>
        <v>0.475409836065574</v>
      </c>
      <c r="L85" s="2"/>
      <c r="M85" s="5" t="n">
        <v>180</v>
      </c>
      <c r="N85" s="5" t="n">
        <f aca="false">(Q85/PI())*-180</f>
        <v>-27.9766374311603</v>
      </c>
      <c r="O85" s="5"/>
      <c r="P85" s="2" t="n">
        <f aca="false">SQRT(C85^2+D85^2)</f>
        <v>327.56855770968</v>
      </c>
      <c r="Q85" s="2" t="n">
        <f aca="false">ATAN(F85/P85)</f>
        <v>0.488284436810435</v>
      </c>
    </row>
    <row r="86" customFormat="false" ht="15.75" hidden="false" customHeight="false" outlineLevel="0" collapsed="false">
      <c r="A86" s="2" t="s">
        <v>96</v>
      </c>
      <c r="B86" s="1" t="s">
        <v>97</v>
      </c>
      <c r="C86" s="9" t="n">
        <v>-243.4</v>
      </c>
      <c r="D86" s="1" t="n">
        <v>202</v>
      </c>
      <c r="E86" s="1" t="n">
        <v>198</v>
      </c>
      <c r="F86" s="0" t="n">
        <f aca="false">E86+69</f>
        <v>267</v>
      </c>
      <c r="G86" s="2"/>
      <c r="H86" s="2" t="n">
        <v>85</v>
      </c>
      <c r="I86" s="2" t="n">
        <f aca="false">C86/248.3</f>
        <v>-0.980265807490938</v>
      </c>
      <c r="J86" s="2" t="n">
        <f aca="false">D86/315</f>
        <v>0.641269841269841</v>
      </c>
      <c r="K86" s="0" t="n">
        <f aca="false">F86/366</f>
        <v>0.729508196721312</v>
      </c>
      <c r="L86" s="2"/>
      <c r="M86" s="5" t="n">
        <v>90</v>
      </c>
      <c r="N86" s="5" t="n">
        <f aca="false">(Q86/PI())*-180</f>
        <v>-40.1686292735389</v>
      </c>
      <c r="O86" s="5"/>
      <c r="P86" s="2" t="n">
        <f aca="false">SQRT(C86^2+D86^2)</f>
        <v>316.302956040566</v>
      </c>
      <c r="Q86" s="2" t="n">
        <f aca="false">ATAN(F86/P86)</f>
        <v>0.701074836836232</v>
      </c>
    </row>
    <row r="87" customFormat="false" ht="15.75" hidden="false" customHeight="false" outlineLevel="0" collapsed="false">
      <c r="B87" s="1" t="s">
        <v>98</v>
      </c>
      <c r="C87" s="9" t="n">
        <v>-243.4</v>
      </c>
      <c r="D87" s="1" t="n">
        <v>96.9</v>
      </c>
      <c r="E87" s="1" t="n">
        <v>198</v>
      </c>
      <c r="F87" s="0" t="n">
        <f aca="false">E87+69</f>
        <v>267</v>
      </c>
      <c r="G87" s="2"/>
      <c r="H87" s="2" t="n">
        <v>86</v>
      </c>
      <c r="I87" s="2" t="n">
        <f aca="false">C87/248.3</f>
        <v>-0.980265807490938</v>
      </c>
      <c r="J87" s="2" t="n">
        <f aca="false">D87/315</f>
        <v>0.307619047619048</v>
      </c>
      <c r="K87" s="0" t="n">
        <f aca="false">F87/366</f>
        <v>0.729508196721312</v>
      </c>
      <c r="L87" s="2"/>
      <c r="M87" s="5" t="n">
        <v>90</v>
      </c>
      <c r="N87" s="5" t="n">
        <f aca="false">(Q87/PI())*-180</f>
        <v>-45.5437915538738</v>
      </c>
      <c r="O87" s="5"/>
      <c r="P87" s="2" t="n">
        <f aca="false">SQRT(C87^2+D87^2)</f>
        <v>261.979331245807</v>
      </c>
      <c r="Q87" s="2" t="n">
        <f aca="false">ATAN(F87/P87)</f>
        <v>0.794889116457082</v>
      </c>
    </row>
    <row r="88" customFormat="false" ht="15.75" hidden="false" customHeight="false" outlineLevel="0" collapsed="false">
      <c r="B88" s="1" t="s">
        <v>99</v>
      </c>
      <c r="C88" s="9" t="n">
        <v>-243.4</v>
      </c>
      <c r="D88" s="1" t="n">
        <v>-0.2</v>
      </c>
      <c r="E88" s="1" t="n">
        <v>198</v>
      </c>
      <c r="F88" s="0" t="n">
        <f aca="false">E88+69</f>
        <v>267</v>
      </c>
      <c r="G88" s="2"/>
      <c r="H88" s="2" t="n">
        <v>87</v>
      </c>
      <c r="I88" s="2" t="n">
        <f aca="false">C88/248.3</f>
        <v>-0.980265807490938</v>
      </c>
      <c r="J88" s="2" t="n">
        <f aca="false">D88/315</f>
        <v>-0.000634920634920635</v>
      </c>
      <c r="K88" s="0" t="n">
        <f aca="false">F88/366</f>
        <v>0.729508196721312</v>
      </c>
      <c r="L88" s="2"/>
      <c r="M88" s="5" t="n">
        <v>90</v>
      </c>
      <c r="N88" s="5" t="n">
        <f aca="false">(Q88/PI())*-180</f>
        <v>-47.6473610362421</v>
      </c>
      <c r="O88" s="5"/>
      <c r="P88" s="2" t="n">
        <f aca="false">SQRT(C88^2+D88^2)</f>
        <v>243.400082169255</v>
      </c>
      <c r="Q88" s="2" t="n">
        <f aca="false">ATAN(F88/P88)</f>
        <v>0.831603329968882</v>
      </c>
    </row>
    <row r="89" customFormat="false" ht="15.75" hidden="false" customHeight="false" outlineLevel="0" collapsed="false">
      <c r="B89" s="1" t="s">
        <v>100</v>
      </c>
      <c r="C89" s="9" t="n">
        <v>-243.4</v>
      </c>
      <c r="D89" s="1" t="n">
        <v>-100.4</v>
      </c>
      <c r="E89" s="1" t="n">
        <v>198</v>
      </c>
      <c r="F89" s="0" t="n">
        <f aca="false">E89+69</f>
        <v>267</v>
      </c>
      <c r="G89" s="2"/>
      <c r="H89" s="2" t="n">
        <v>88</v>
      </c>
      <c r="I89" s="2" t="n">
        <f aca="false">C89/248.3</f>
        <v>-0.980265807490938</v>
      </c>
      <c r="J89" s="2" t="n">
        <f aca="false">D89/315</f>
        <v>-0.318730158730159</v>
      </c>
      <c r="K89" s="0" t="n">
        <f aca="false">F89/366</f>
        <v>0.729508196721312</v>
      </c>
      <c r="L89" s="2"/>
      <c r="M89" s="5" t="n">
        <v>90</v>
      </c>
      <c r="N89" s="5" t="n">
        <f aca="false">(Q89/PI())*-180</f>
        <v>-45.4004115556158</v>
      </c>
      <c r="O89" s="5"/>
      <c r="P89" s="2" t="n">
        <f aca="false">SQRT(C89^2+D89^2)</f>
        <v>263.293980181849</v>
      </c>
      <c r="Q89" s="2" t="n">
        <f aca="false">ATAN(F89/P89)</f>
        <v>0.792386663405977</v>
      </c>
    </row>
    <row r="90" customFormat="false" ht="15.75" hidden="false" customHeight="false" outlineLevel="0" collapsed="false">
      <c r="B90" s="1" t="s">
        <v>101</v>
      </c>
      <c r="C90" s="9" t="n">
        <v>-243.4</v>
      </c>
      <c r="D90" s="1" t="n">
        <v>-200.5</v>
      </c>
      <c r="E90" s="1" t="n">
        <v>198</v>
      </c>
      <c r="F90" s="0" t="n">
        <f aca="false">E90+69</f>
        <v>267</v>
      </c>
      <c r="G90" s="2"/>
      <c r="H90" s="2" t="n">
        <v>89</v>
      </c>
      <c r="I90" s="2" t="n">
        <f aca="false">C90/248.3</f>
        <v>-0.980265807490938</v>
      </c>
      <c r="J90" s="2" t="n">
        <f aca="false">D90/315</f>
        <v>-0.636507936507937</v>
      </c>
      <c r="K90" s="0" t="n">
        <f aca="false">F90/366</f>
        <v>0.729508196721312</v>
      </c>
      <c r="L90" s="2"/>
      <c r="M90" s="5" t="n">
        <v>90</v>
      </c>
      <c r="N90" s="5" t="n">
        <f aca="false">(Q90/PI())*-180</f>
        <v>-40.2541223855504</v>
      </c>
      <c r="O90" s="5"/>
      <c r="P90" s="2" t="n">
        <f aca="false">SQRT(C90^2+D90^2)</f>
        <v>315.34712619588</v>
      </c>
      <c r="Q90" s="2" t="n">
        <f aca="false">ATAN(F90/P90)</f>
        <v>0.702566973128609</v>
      </c>
    </row>
    <row r="91" customFormat="false" ht="15.75" hidden="false" customHeight="false" outlineLevel="0" collapsed="false">
      <c r="B91" s="1" t="s">
        <v>102</v>
      </c>
      <c r="C91" s="1" t="n">
        <v>-208.9</v>
      </c>
      <c r="D91" s="6" t="n">
        <v>-291.8</v>
      </c>
      <c r="E91" s="1" t="n">
        <v>198</v>
      </c>
      <c r="F91" s="0" t="n">
        <f aca="false">E91+69</f>
        <v>267</v>
      </c>
      <c r="G91" s="2"/>
      <c r="H91" s="2" t="n">
        <v>90</v>
      </c>
      <c r="I91" s="2" t="n">
        <f aca="false">C91/248.3</f>
        <v>-0.841320982682239</v>
      </c>
      <c r="J91" s="2" t="n">
        <f aca="false">D91/315</f>
        <v>-0.926349206349206</v>
      </c>
      <c r="K91" s="0" t="n">
        <f aca="false">F91/366</f>
        <v>0.729508196721312</v>
      </c>
      <c r="L91" s="2"/>
      <c r="M91" s="5" t="n">
        <v>0</v>
      </c>
      <c r="N91" s="5" t="n">
        <f aca="false">(Q91/PI())*-180</f>
        <v>-36.6494521634953</v>
      </c>
      <c r="O91" s="5"/>
      <c r="P91" s="2" t="n">
        <f aca="false">SQRT(C91^2+D91^2)</f>
        <v>358.868290602555</v>
      </c>
      <c r="Q91" s="2" t="n">
        <f aca="false">ATAN(F91/P91)</f>
        <v>0.639653609305153</v>
      </c>
    </row>
    <row r="92" customFormat="false" ht="15.75" hidden="false" customHeight="false" outlineLevel="0" collapsed="false">
      <c r="B92" s="1" t="s">
        <v>103</v>
      </c>
      <c r="C92" s="1" t="n">
        <v>-104.7</v>
      </c>
      <c r="D92" s="6" t="n">
        <v>-291.8</v>
      </c>
      <c r="E92" s="1" t="n">
        <v>198</v>
      </c>
      <c r="F92" s="0" t="n">
        <f aca="false">E92+69</f>
        <v>267</v>
      </c>
      <c r="G92" s="2"/>
      <c r="H92" s="2" t="n">
        <v>91</v>
      </c>
      <c r="I92" s="2" t="n">
        <f aca="false">C92/248.3</f>
        <v>-0.421667337897704</v>
      </c>
      <c r="J92" s="2" t="n">
        <f aca="false">D92/315</f>
        <v>-0.926349206349206</v>
      </c>
      <c r="K92" s="0" t="n">
        <f aca="false">F92/366</f>
        <v>0.729508196721312</v>
      </c>
      <c r="L92" s="2"/>
      <c r="M92" s="5" t="n">
        <v>0</v>
      </c>
      <c r="N92" s="5" t="n">
        <f aca="false">(Q92/PI())*-180</f>
        <v>-40.7366270103348</v>
      </c>
      <c r="O92" s="5"/>
      <c r="P92" s="2" t="n">
        <f aca="false">SQRT(C92^2+D92^2)</f>
        <v>310.015048021866</v>
      </c>
      <c r="Q92" s="2" t="n">
        <f aca="false">ATAN(F92/P92)</f>
        <v>0.710988267487196</v>
      </c>
    </row>
    <row r="93" customFormat="false" ht="15.75" hidden="false" customHeight="false" outlineLevel="0" collapsed="false">
      <c r="B93" s="1" t="s">
        <v>104</v>
      </c>
      <c r="C93" s="1" t="n">
        <v>-7.6</v>
      </c>
      <c r="D93" s="6" t="n">
        <v>-291.8</v>
      </c>
      <c r="E93" s="1" t="n">
        <v>198</v>
      </c>
      <c r="F93" s="0" t="n">
        <f aca="false">E93+69</f>
        <v>267</v>
      </c>
      <c r="G93" s="2"/>
      <c r="H93" s="2" t="n">
        <v>92</v>
      </c>
      <c r="I93" s="2" t="n">
        <f aca="false">C93/248.3</f>
        <v>-0.0306081353201772</v>
      </c>
      <c r="J93" s="2" t="n">
        <f aca="false">D93/315</f>
        <v>-0.926349206349206</v>
      </c>
      <c r="K93" s="0" t="n">
        <f aca="false">F93/366</f>
        <v>0.729508196721312</v>
      </c>
      <c r="L93" s="2"/>
      <c r="M93" s="5" t="n">
        <v>0</v>
      </c>
      <c r="N93" s="5" t="n">
        <f aca="false">(Q93/PI())*-180</f>
        <v>-42.4491590011884</v>
      </c>
      <c r="O93" s="5"/>
      <c r="P93" s="2" t="n">
        <f aca="false">SQRT(C93^2+D93^2)</f>
        <v>291.898955119747</v>
      </c>
      <c r="Q93" s="2" t="n">
        <f aca="false">ATAN(F93/P93)</f>
        <v>0.740877589273326</v>
      </c>
    </row>
    <row r="94" customFormat="false" ht="15.75" hidden="false" customHeight="false" outlineLevel="0" collapsed="false">
      <c r="B94" s="1" t="s">
        <v>105</v>
      </c>
      <c r="C94" s="1" t="n">
        <v>92.5</v>
      </c>
      <c r="D94" s="6" t="n">
        <v>-291.8</v>
      </c>
      <c r="E94" s="1" t="n">
        <v>198</v>
      </c>
      <c r="F94" s="0" t="n">
        <f aca="false">E94+69</f>
        <v>267</v>
      </c>
      <c r="G94" s="2"/>
      <c r="H94" s="2" t="n">
        <v>93</v>
      </c>
      <c r="I94" s="2" t="n">
        <f aca="false">C94/248.3</f>
        <v>0.372533225936367</v>
      </c>
      <c r="J94" s="2" t="n">
        <f aca="false">D94/315</f>
        <v>-0.926349206349206</v>
      </c>
      <c r="K94" s="0" t="n">
        <f aca="false">F94/366</f>
        <v>0.729508196721312</v>
      </c>
      <c r="L94" s="2"/>
      <c r="M94" s="5" t="n">
        <v>0</v>
      </c>
      <c r="N94" s="5" t="n">
        <f aca="false">(Q94/PI())*-180</f>
        <v>-41.096067326825</v>
      </c>
      <c r="O94" s="5"/>
      <c r="P94" s="2" t="n">
        <f aca="false">SQRT(C94^2+D94^2)</f>
        <v>306.110257913713</v>
      </c>
      <c r="Q94" s="2" t="n">
        <f aca="false">ATAN(F94/P94)</f>
        <v>0.717261684474361</v>
      </c>
    </row>
    <row r="95" customFormat="false" ht="15.75" hidden="false" customHeight="false" outlineLevel="0" collapsed="false">
      <c r="B95" s="1" t="s">
        <v>106</v>
      </c>
      <c r="C95" s="1" t="n">
        <v>192.6</v>
      </c>
      <c r="D95" s="6" t="n">
        <v>-291.8</v>
      </c>
      <c r="E95" s="1" t="n">
        <v>198</v>
      </c>
      <c r="F95" s="0" t="n">
        <f aca="false">E95+69</f>
        <v>267</v>
      </c>
      <c r="G95" s="2"/>
      <c r="H95" s="2" t="n">
        <v>94</v>
      </c>
      <c r="I95" s="2" t="n">
        <f aca="false">C95/248.3</f>
        <v>0.775674587192912</v>
      </c>
      <c r="J95" s="2" t="n">
        <f aca="false">D95/315</f>
        <v>-0.926349206349206</v>
      </c>
      <c r="K95" s="0" t="n">
        <f aca="false">F95/366</f>
        <v>0.729508196721312</v>
      </c>
      <c r="L95" s="2"/>
      <c r="M95" s="5" t="n">
        <v>0</v>
      </c>
      <c r="N95" s="5" t="n">
        <f aca="false">(Q95/PI())*-180</f>
        <v>-37.367588139813</v>
      </c>
      <c r="O95" s="5"/>
      <c r="P95" s="2" t="n">
        <f aca="false">SQRT(C95^2+D95^2)</f>
        <v>349.631234302658</v>
      </c>
      <c r="Q95" s="2" t="n">
        <f aca="false">ATAN(F95/P95)</f>
        <v>0.65218744656892</v>
      </c>
    </row>
    <row r="96" customFormat="false" ht="15.75" hidden="false" customHeight="false" outlineLevel="0" collapsed="false">
      <c r="B96" s="1" t="s">
        <v>107</v>
      </c>
      <c r="C96" s="7" t="n">
        <v>241.4</v>
      </c>
      <c r="D96" s="1" t="n">
        <v>-201.5</v>
      </c>
      <c r="E96" s="1" t="n">
        <v>198</v>
      </c>
      <c r="F96" s="0" t="n">
        <f aca="false">E96+69</f>
        <v>267</v>
      </c>
      <c r="G96" s="2"/>
      <c r="H96" s="2" t="n">
        <v>95</v>
      </c>
      <c r="I96" s="2" t="n">
        <f aca="false">C96/248.3</f>
        <v>0.97221103503826</v>
      </c>
      <c r="J96" s="2" t="n">
        <f aca="false">D96/315</f>
        <v>-0.63968253968254</v>
      </c>
      <c r="K96" s="0" t="n">
        <f aca="false">F96/366</f>
        <v>0.729508196721312</v>
      </c>
      <c r="L96" s="2"/>
      <c r="M96" s="5" t="n">
        <v>270</v>
      </c>
      <c r="N96" s="5" t="n">
        <f aca="false">(Q96/PI())*-180</f>
        <v>-40.3350104999826</v>
      </c>
      <c r="O96" s="5"/>
      <c r="P96" s="2" t="n">
        <f aca="false">SQRT(C96^2+D96^2)</f>
        <v>314.445877695988</v>
      </c>
      <c r="Q96" s="2" t="n">
        <f aca="false">ATAN(F96/P96)</f>
        <v>0.70397873705118</v>
      </c>
    </row>
    <row r="97" customFormat="false" ht="15.75" hidden="false" customHeight="false" outlineLevel="0" collapsed="false">
      <c r="B97" s="1" t="s">
        <v>108</v>
      </c>
      <c r="C97" s="7" t="n">
        <v>241.4</v>
      </c>
      <c r="D97" s="1" t="n">
        <v>-97.4</v>
      </c>
      <c r="E97" s="1" t="n">
        <v>198</v>
      </c>
      <c r="F97" s="0" t="n">
        <f aca="false">E97+69</f>
        <v>267</v>
      </c>
      <c r="G97" s="2"/>
      <c r="H97" s="2" t="n">
        <v>96</v>
      </c>
      <c r="I97" s="2" t="n">
        <f aca="false">C97/248.3</f>
        <v>0.97221103503826</v>
      </c>
      <c r="J97" s="2" t="n">
        <f aca="false">D97/315</f>
        <v>-0.309206349206349</v>
      </c>
      <c r="K97" s="0" t="n">
        <f aca="false">F97/366</f>
        <v>0.729508196721312</v>
      </c>
      <c r="L97" s="2"/>
      <c r="M97" s="5" t="n">
        <v>270</v>
      </c>
      <c r="N97" s="5" t="n">
        <f aca="false">(Q97/PI())*-180</f>
        <v>-45.7269962581041</v>
      </c>
      <c r="O97" s="5"/>
      <c r="P97" s="2" t="n">
        <f aca="false">SQRT(C97^2+D97^2)</f>
        <v>260.308893432399</v>
      </c>
      <c r="Q97" s="2" t="n">
        <f aca="false">ATAN(F97/P97)</f>
        <v>0.798086641751043</v>
      </c>
    </row>
    <row r="98" customFormat="false" ht="15.75" hidden="false" customHeight="false" outlineLevel="0" collapsed="false">
      <c r="B98" s="1" t="s">
        <v>109</v>
      </c>
      <c r="C98" s="7" t="n">
        <v>241.4</v>
      </c>
      <c r="D98" s="1" t="n">
        <v>-0.2</v>
      </c>
      <c r="E98" s="1" t="n">
        <v>198</v>
      </c>
      <c r="F98" s="0" t="n">
        <f aca="false">E98+69</f>
        <v>267</v>
      </c>
      <c r="G98" s="2"/>
      <c r="H98" s="2" t="n">
        <v>97</v>
      </c>
      <c r="I98" s="2" t="n">
        <f aca="false">C98/248.3</f>
        <v>0.97221103503826</v>
      </c>
      <c r="J98" s="2" t="n">
        <f aca="false">D98/315</f>
        <v>-0.000634920634920635</v>
      </c>
      <c r="K98" s="0" t="n">
        <f aca="false">F98/366</f>
        <v>0.729508196721312</v>
      </c>
      <c r="L98" s="2"/>
      <c r="M98" s="5" t="n">
        <v>270</v>
      </c>
      <c r="N98" s="5" t="n">
        <f aca="false">(Q98/PI())*-180</f>
        <v>-47.8826301789991</v>
      </c>
      <c r="O98" s="5"/>
      <c r="P98" s="2" t="n">
        <f aca="false">SQRT(C98^2+D98^2)</f>
        <v>241.400082850027</v>
      </c>
      <c r="Q98" s="2" t="n">
        <f aca="false">ATAN(F98/P98)</f>
        <v>0.835709551138336</v>
      </c>
    </row>
    <row r="99" customFormat="false" ht="15.75" hidden="false" customHeight="false" outlineLevel="0" collapsed="false">
      <c r="B99" s="1" t="s">
        <v>110</v>
      </c>
      <c r="C99" s="7" t="n">
        <v>241.4</v>
      </c>
      <c r="D99" s="1" t="n">
        <v>99.9</v>
      </c>
      <c r="E99" s="1" t="n">
        <v>198</v>
      </c>
      <c r="F99" s="0" t="n">
        <f aca="false">E99+69</f>
        <v>267</v>
      </c>
      <c r="G99" s="2"/>
      <c r="H99" s="2" t="n">
        <v>98</v>
      </c>
      <c r="I99" s="2" t="n">
        <f aca="false">C99/248.3</f>
        <v>0.97221103503826</v>
      </c>
      <c r="J99" s="2" t="n">
        <f aca="false">D99/315</f>
        <v>0.317142857142857</v>
      </c>
      <c r="K99" s="0" t="n">
        <f aca="false">F99/366</f>
        <v>0.729508196721312</v>
      </c>
      <c r="L99" s="2"/>
      <c r="M99" s="5" t="n">
        <v>270</v>
      </c>
      <c r="N99" s="5" t="n">
        <f aca="false">(Q99/PI())*-180</f>
        <v>-45.6231346617996</v>
      </c>
      <c r="O99" s="5"/>
      <c r="P99" s="2" t="n">
        <f aca="false">SQRT(C99^2+D99^2)</f>
        <v>261.254607614871</v>
      </c>
      <c r="Q99" s="2" t="n">
        <f aca="false">ATAN(F99/P99)</f>
        <v>0.796273914929152</v>
      </c>
    </row>
    <row r="100" customFormat="false" ht="15.75" hidden="false" customHeight="false" outlineLevel="0" collapsed="false">
      <c r="B100" s="1" t="s">
        <v>111</v>
      </c>
      <c r="C100" s="7" t="n">
        <v>241.4</v>
      </c>
      <c r="D100" s="1" t="n">
        <v>200</v>
      </c>
      <c r="E100" s="1" t="n">
        <v>198</v>
      </c>
      <c r="F100" s="0" t="n">
        <f aca="false">E100+69</f>
        <v>267</v>
      </c>
      <c r="G100" s="2"/>
      <c r="H100" s="2" t="n">
        <v>99</v>
      </c>
      <c r="I100" s="2" t="n">
        <f aca="false">C100/248.3</f>
        <v>0.97221103503826</v>
      </c>
      <c r="J100" s="2" t="n">
        <f aca="false">D100/315</f>
        <v>0.634920634920635</v>
      </c>
      <c r="K100" s="0" t="n">
        <f aca="false">F100/366</f>
        <v>0.729508196721312</v>
      </c>
      <c r="L100" s="2"/>
      <c r="M100" s="5" t="n">
        <v>270</v>
      </c>
      <c r="N100" s="5" t="n">
        <f aca="false">(Q100/PI())*-180</f>
        <v>-40.4213872612776</v>
      </c>
      <c r="O100" s="5"/>
      <c r="P100" s="2" t="n">
        <f aca="false">SQRT(C100^2+D100^2)</f>
        <v>313.486778030589</v>
      </c>
      <c r="Q100" s="2" t="n">
        <f aca="false">ATAN(F100/P100)</f>
        <v>0.705486295932987</v>
      </c>
    </row>
    <row r="101" customFormat="false" ht="15.75" hidden="false" customHeight="false" outlineLevel="0" collapsed="false">
      <c r="B101" s="1" t="s">
        <v>112</v>
      </c>
      <c r="C101" s="1" t="n">
        <v>203.8</v>
      </c>
      <c r="D101" s="10" t="n">
        <v>290.4</v>
      </c>
      <c r="E101" s="1" t="n">
        <v>198</v>
      </c>
      <c r="F101" s="0" t="n">
        <f aca="false">E101+69</f>
        <v>267</v>
      </c>
      <c r="G101" s="2"/>
      <c r="H101" s="2" t="n">
        <v>100</v>
      </c>
      <c r="I101" s="2" t="n">
        <f aca="false">C101/248.3</f>
        <v>0.82078131292791</v>
      </c>
      <c r="J101" s="2" t="n">
        <f aca="false">D101/315</f>
        <v>0.921904761904762</v>
      </c>
      <c r="K101" s="0" t="n">
        <f aca="false">F101/366</f>
        <v>0.729508196721312</v>
      </c>
      <c r="L101" s="2"/>
      <c r="M101" s="5" t="n">
        <v>180</v>
      </c>
      <c r="N101" s="5" t="n">
        <f aca="false">(Q101/PI())*-180</f>
        <v>-36.9645989358233</v>
      </c>
      <c r="O101" s="5"/>
      <c r="P101" s="2" t="n">
        <f aca="false">SQRT(C101^2+D101^2)</f>
        <v>354.776831261569</v>
      </c>
      <c r="Q101" s="2" t="n">
        <f aca="false">ATAN(F101/P101)</f>
        <v>0.645153958109309</v>
      </c>
    </row>
    <row r="102" customFormat="false" ht="15.75" hidden="false" customHeight="false" outlineLevel="0" collapsed="false">
      <c r="B102" s="1" t="s">
        <v>113</v>
      </c>
      <c r="C102" s="1" t="n">
        <v>104.7</v>
      </c>
      <c r="D102" s="10" t="n">
        <v>290.4</v>
      </c>
      <c r="E102" s="1" t="n">
        <v>198</v>
      </c>
      <c r="F102" s="0" t="n">
        <f aca="false">E102+69</f>
        <v>267</v>
      </c>
      <c r="G102" s="2"/>
      <c r="H102" s="2" t="n">
        <v>101</v>
      </c>
      <c r="I102" s="2" t="n">
        <f aca="false">C102/248.3</f>
        <v>0.421667337897704</v>
      </c>
      <c r="J102" s="2" t="n">
        <f aca="false">D102/315</f>
        <v>0.921904761904762</v>
      </c>
      <c r="K102" s="0" t="n">
        <f aca="false">F102/366</f>
        <v>0.729508196721312</v>
      </c>
      <c r="L102" s="2"/>
      <c r="M102" s="5" t="n">
        <v>180</v>
      </c>
      <c r="N102" s="5" t="n">
        <f aca="false">(Q102/PI())*-180</f>
        <v>-40.8573122574732</v>
      </c>
      <c r="O102" s="5"/>
      <c r="P102" s="2" t="n">
        <f aca="false">SQRT(C102^2+D102^2)</f>
        <v>308.697667629673</v>
      </c>
      <c r="Q102" s="2" t="n">
        <f aca="false">ATAN(F102/P102)</f>
        <v>0.713094622408344</v>
      </c>
    </row>
    <row r="103" customFormat="false" ht="15.75" hidden="false" customHeight="false" outlineLevel="0" collapsed="false">
      <c r="B103" s="1" t="s">
        <v>114</v>
      </c>
      <c r="C103" s="1" t="n">
        <v>0.6</v>
      </c>
      <c r="D103" s="10" t="n">
        <v>290.4</v>
      </c>
      <c r="E103" s="1" t="n">
        <v>198</v>
      </c>
      <c r="F103" s="0" t="n">
        <f aca="false">E103+69</f>
        <v>267</v>
      </c>
      <c r="G103" s="2"/>
      <c r="H103" s="2" t="n">
        <v>102</v>
      </c>
      <c r="I103" s="2" t="n">
        <f aca="false">C103/248.3</f>
        <v>0.00241643173580346</v>
      </c>
      <c r="J103" s="2" t="n">
        <f aca="false">D103/315</f>
        <v>0.921904761904762</v>
      </c>
      <c r="K103" s="0" t="n">
        <f aca="false">F103/366</f>
        <v>0.729508196721312</v>
      </c>
      <c r="L103" s="2"/>
      <c r="M103" s="5" t="n">
        <v>180</v>
      </c>
      <c r="N103" s="5" t="n">
        <f aca="false">(Q103/PI())*-180</f>
        <v>-42.5960380003614</v>
      </c>
      <c r="O103" s="5"/>
      <c r="P103" s="2" t="n">
        <f aca="false">SQRT(C103^2+D103^2)</f>
        <v>290.400619834049</v>
      </c>
      <c r="Q103" s="2" t="n">
        <f aca="false">ATAN(F103/P103)</f>
        <v>0.743441111410927</v>
      </c>
    </row>
    <row r="104" customFormat="false" ht="15.75" hidden="false" customHeight="false" outlineLevel="0" collapsed="false">
      <c r="B104" s="1" t="s">
        <v>115</v>
      </c>
      <c r="C104" s="1" t="n">
        <v>-99.5</v>
      </c>
      <c r="D104" s="10" t="n">
        <v>290.4</v>
      </c>
      <c r="E104" s="1" t="n">
        <v>198</v>
      </c>
      <c r="F104" s="0" t="n">
        <f aca="false">E104+69</f>
        <v>267</v>
      </c>
      <c r="G104" s="2"/>
      <c r="H104" s="2" t="n">
        <v>103</v>
      </c>
      <c r="I104" s="2" t="n">
        <f aca="false">C104/248.3</f>
        <v>-0.400724929520741</v>
      </c>
      <c r="J104" s="2" t="n">
        <f aca="false">D104/315</f>
        <v>0.921904761904762</v>
      </c>
      <c r="K104" s="0" t="n">
        <f aca="false">F104/366</f>
        <v>0.729508196721312</v>
      </c>
      <c r="L104" s="2"/>
      <c r="M104" s="5" t="n">
        <v>180</v>
      </c>
      <c r="N104" s="5" t="n">
        <f aca="false">(Q104/PI())*-180</f>
        <v>-41.0162043664289</v>
      </c>
      <c r="O104" s="5"/>
      <c r="P104" s="2" t="n">
        <f aca="false">SQRT(C104^2+D104^2)</f>
        <v>306.972979266906</v>
      </c>
      <c r="Q104" s="2" t="n">
        <f aca="false">ATAN(F104/P104)</f>
        <v>0.715867812865059</v>
      </c>
    </row>
    <row r="105" customFormat="false" ht="15.75" hidden="false" customHeight="false" outlineLevel="0" collapsed="false">
      <c r="B105" s="1" t="s">
        <v>116</v>
      </c>
      <c r="C105" s="1" t="n">
        <v>-199.7</v>
      </c>
      <c r="D105" s="10" t="n">
        <v>290.4</v>
      </c>
      <c r="E105" s="1" t="n">
        <v>198</v>
      </c>
      <c r="F105" s="0" t="n">
        <f aca="false">E105+69</f>
        <v>267</v>
      </c>
      <c r="G105" s="2"/>
      <c r="H105" s="2" t="n">
        <v>104</v>
      </c>
      <c r="I105" s="2" t="n">
        <f aca="false">C105/248.3</f>
        <v>-0.804269029399919</v>
      </c>
      <c r="J105" s="2" t="n">
        <f aca="false">D105/315</f>
        <v>0.921904761904762</v>
      </c>
      <c r="K105" s="0" t="n">
        <f aca="false">F105/366</f>
        <v>0.729508196721312</v>
      </c>
      <c r="L105" s="2"/>
      <c r="M105" s="5" t="n">
        <v>180</v>
      </c>
      <c r="N105" s="5" t="n">
        <f aca="false">(Q105/PI())*-180</f>
        <v>-37.1468758175585</v>
      </c>
      <c r="O105" s="5"/>
      <c r="P105" s="2" t="n">
        <f aca="false">SQRT(C105^2+D105^2)</f>
        <v>352.437583126431</v>
      </c>
      <c r="Q105" s="2" t="n">
        <f aca="false">ATAN(F105/P105)</f>
        <v>0.648335289845856</v>
      </c>
    </row>
    <row r="106" customFormat="false" ht="15.75" hidden="false" customHeight="false" outlineLevel="0" collapsed="false">
      <c r="A106" s="2" t="s">
        <v>117</v>
      </c>
      <c r="B106" s="1" t="s">
        <v>118</v>
      </c>
      <c r="C106" s="1" t="n">
        <v>-132</v>
      </c>
      <c r="D106" s="1" t="n">
        <v>228.1</v>
      </c>
      <c r="E106" s="1" t="n">
        <v>297</v>
      </c>
      <c r="F106" s="0" t="n">
        <f aca="false">E106+69</f>
        <v>366</v>
      </c>
      <c r="G106" s="2"/>
      <c r="H106" s="2" t="n">
        <v>105</v>
      </c>
      <c r="I106" s="2" t="n">
        <f aca="false">C106/248.3</f>
        <v>-0.531614981876762</v>
      </c>
      <c r="J106" s="2" t="n">
        <f aca="false">D106/315</f>
        <v>0.724126984126984</v>
      </c>
      <c r="K106" s="0" t="n">
        <f aca="false">F106/366</f>
        <v>1</v>
      </c>
      <c r="L106" s="2"/>
      <c r="M106" s="5" t="n">
        <v>0</v>
      </c>
      <c r="N106" s="5" t="n">
        <v>-90</v>
      </c>
      <c r="O106" s="5"/>
      <c r="P106" s="2" t="n">
        <f aca="false">SQRT(C106^2+D106^2)</f>
        <v>263.540528192534</v>
      </c>
    </row>
    <row r="107" customFormat="false" ht="15.75" hidden="false" customHeight="false" outlineLevel="0" collapsed="false">
      <c r="B107" s="1" t="s">
        <v>119</v>
      </c>
      <c r="C107" s="1" t="n">
        <v>-36</v>
      </c>
      <c r="D107" s="1" t="n">
        <v>228.1</v>
      </c>
      <c r="E107" s="1" t="n">
        <v>297</v>
      </c>
      <c r="F107" s="0" t="n">
        <f aca="false">E107+69</f>
        <v>366</v>
      </c>
      <c r="G107" s="2"/>
      <c r="H107" s="2" t="n">
        <v>106</v>
      </c>
      <c r="I107" s="2" t="n">
        <f aca="false">C107/248.3</f>
        <v>-0.144985904148208</v>
      </c>
      <c r="J107" s="2" t="n">
        <f aca="false">D107/315</f>
        <v>0.724126984126984</v>
      </c>
      <c r="K107" s="0" t="n">
        <f aca="false">F107/366</f>
        <v>1</v>
      </c>
      <c r="L107" s="2"/>
      <c r="M107" s="5" t="n">
        <v>0</v>
      </c>
      <c r="N107" s="5" t="n">
        <v>-90</v>
      </c>
      <c r="O107" s="5"/>
      <c r="P107" s="2" t="n">
        <f aca="false">SQRT(C107^2+D107^2)</f>
        <v>230.923385563264</v>
      </c>
    </row>
    <row r="108" customFormat="false" ht="15.75" hidden="false" customHeight="false" outlineLevel="0" collapsed="false">
      <c r="B108" s="1" t="s">
        <v>120</v>
      </c>
      <c r="C108" s="1" t="n">
        <v>36</v>
      </c>
      <c r="D108" s="1" t="n">
        <v>228.1</v>
      </c>
      <c r="E108" s="1" t="n">
        <v>297</v>
      </c>
      <c r="F108" s="0" t="n">
        <f aca="false">E108+69</f>
        <v>366</v>
      </c>
      <c r="G108" s="2"/>
      <c r="H108" s="2" t="n">
        <v>107</v>
      </c>
      <c r="I108" s="2" t="n">
        <f aca="false">C108/248.3</f>
        <v>0.144985904148208</v>
      </c>
      <c r="J108" s="2" t="n">
        <f aca="false">D108/315</f>
        <v>0.724126984126984</v>
      </c>
      <c r="K108" s="0" t="n">
        <f aca="false">F108/366</f>
        <v>1</v>
      </c>
      <c r="L108" s="2"/>
      <c r="M108" s="5" t="n">
        <v>0</v>
      </c>
      <c r="N108" s="5" t="n">
        <v>-90</v>
      </c>
      <c r="O108" s="5"/>
      <c r="P108" s="2" t="n">
        <f aca="false">SQRT(C108^2+D108^2)</f>
        <v>230.923385563264</v>
      </c>
    </row>
    <row r="109" customFormat="false" ht="15.75" hidden="false" customHeight="false" outlineLevel="0" collapsed="false">
      <c r="B109" s="1" t="s">
        <v>121</v>
      </c>
      <c r="C109" s="1" t="n">
        <v>132</v>
      </c>
      <c r="D109" s="1" t="n">
        <v>228.1</v>
      </c>
      <c r="E109" s="1" t="n">
        <v>297</v>
      </c>
      <c r="F109" s="0" t="n">
        <f aca="false">E109+69</f>
        <v>366</v>
      </c>
      <c r="G109" s="2"/>
      <c r="H109" s="2" t="n">
        <v>108</v>
      </c>
      <c r="I109" s="2" t="n">
        <f aca="false">C109/248.3</f>
        <v>0.531614981876762</v>
      </c>
      <c r="J109" s="2" t="n">
        <f aca="false">D109/315</f>
        <v>0.724126984126984</v>
      </c>
      <c r="K109" s="0" t="n">
        <f aca="false">F109/366</f>
        <v>1</v>
      </c>
      <c r="L109" s="2"/>
      <c r="M109" s="5" t="n">
        <v>0</v>
      </c>
      <c r="N109" s="5" t="n">
        <v>-90</v>
      </c>
      <c r="O109" s="5"/>
      <c r="P109" s="2" t="n">
        <f aca="false">SQRT(C109^2+D109^2)</f>
        <v>263.540528192534</v>
      </c>
    </row>
    <row r="110" customFormat="false" ht="15.75" hidden="false" customHeight="false" outlineLevel="0" collapsed="false">
      <c r="B110" s="1" t="s">
        <v>122</v>
      </c>
      <c r="C110" s="1" t="n">
        <v>-132</v>
      </c>
      <c r="D110" s="1" t="n">
        <v>114</v>
      </c>
      <c r="E110" s="1" t="n">
        <v>297</v>
      </c>
      <c r="F110" s="0" t="n">
        <f aca="false">E110+69</f>
        <v>366</v>
      </c>
      <c r="G110" s="2"/>
      <c r="H110" s="2" t="n">
        <v>109</v>
      </c>
      <c r="I110" s="2" t="n">
        <f aca="false">C110/248.3</f>
        <v>-0.531614981876762</v>
      </c>
      <c r="J110" s="2" t="n">
        <f aca="false">D110/315</f>
        <v>0.361904761904762</v>
      </c>
      <c r="K110" s="0" t="n">
        <f aca="false">F110/366</f>
        <v>1</v>
      </c>
      <c r="L110" s="2"/>
      <c r="M110" s="5" t="n">
        <v>0</v>
      </c>
      <c r="N110" s="5" t="n">
        <v>-90</v>
      </c>
      <c r="O110" s="5"/>
      <c r="P110" s="2" t="n">
        <f aca="false">SQRT(C110^2+D110^2)</f>
        <v>174.413302244984</v>
      </c>
    </row>
    <row r="111" customFormat="false" ht="15.75" hidden="false" customHeight="false" outlineLevel="0" collapsed="false">
      <c r="B111" s="1" t="s">
        <v>123</v>
      </c>
      <c r="C111" s="1" t="n">
        <v>-36</v>
      </c>
      <c r="D111" s="1" t="n">
        <v>114</v>
      </c>
      <c r="E111" s="1" t="n">
        <v>297</v>
      </c>
      <c r="F111" s="0" t="n">
        <f aca="false">E111+69</f>
        <v>366</v>
      </c>
      <c r="G111" s="2"/>
      <c r="H111" s="2" t="n">
        <v>110</v>
      </c>
      <c r="I111" s="2" t="n">
        <f aca="false">C111/248.3</f>
        <v>-0.144985904148208</v>
      </c>
      <c r="J111" s="2" t="n">
        <f aca="false">D111/315</f>
        <v>0.361904761904762</v>
      </c>
      <c r="K111" s="0" t="n">
        <f aca="false">F111/366</f>
        <v>1</v>
      </c>
      <c r="L111" s="2"/>
      <c r="M111" s="5" t="n">
        <v>0</v>
      </c>
      <c r="N111" s="5" t="n">
        <v>-90</v>
      </c>
      <c r="O111" s="5"/>
      <c r="P111" s="2" t="n">
        <f aca="false">SQRT(C111^2+D111^2)</f>
        <v>119.549153071028</v>
      </c>
    </row>
    <row r="112" customFormat="false" ht="15.75" hidden="false" customHeight="false" outlineLevel="0" collapsed="false">
      <c r="B112" s="1" t="s">
        <v>124</v>
      </c>
      <c r="C112" s="1" t="n">
        <v>36</v>
      </c>
      <c r="D112" s="1" t="n">
        <v>114</v>
      </c>
      <c r="E112" s="1" t="n">
        <v>297</v>
      </c>
      <c r="F112" s="0" t="n">
        <f aca="false">E112+69</f>
        <v>366</v>
      </c>
      <c r="G112" s="2"/>
      <c r="H112" s="2" t="n">
        <v>111</v>
      </c>
      <c r="I112" s="2" t="n">
        <f aca="false">C112/248.3</f>
        <v>0.144985904148208</v>
      </c>
      <c r="J112" s="2" t="n">
        <f aca="false">D112/315</f>
        <v>0.361904761904762</v>
      </c>
      <c r="K112" s="0" t="n">
        <f aca="false">F112/366</f>
        <v>1</v>
      </c>
      <c r="L112" s="2"/>
      <c r="M112" s="5" t="n">
        <v>0</v>
      </c>
      <c r="N112" s="5" t="n">
        <v>-90</v>
      </c>
      <c r="O112" s="5"/>
      <c r="P112" s="2" t="n">
        <f aca="false">SQRT(C112^2+D112^2)</f>
        <v>119.549153071028</v>
      </c>
    </row>
    <row r="113" customFormat="false" ht="15.75" hidden="false" customHeight="false" outlineLevel="0" collapsed="false">
      <c r="B113" s="1" t="s">
        <v>125</v>
      </c>
      <c r="C113" s="1" t="n">
        <v>132</v>
      </c>
      <c r="D113" s="1" t="n">
        <v>114</v>
      </c>
      <c r="E113" s="1" t="n">
        <v>297</v>
      </c>
      <c r="F113" s="0" t="n">
        <f aca="false">E113+69</f>
        <v>366</v>
      </c>
      <c r="G113" s="2"/>
      <c r="H113" s="2" t="n">
        <v>112</v>
      </c>
      <c r="I113" s="2" t="n">
        <f aca="false">C113/248.3</f>
        <v>0.531614981876762</v>
      </c>
      <c r="J113" s="2" t="n">
        <f aca="false">D113/315</f>
        <v>0.361904761904762</v>
      </c>
      <c r="K113" s="0" t="n">
        <f aca="false">F113/366</f>
        <v>1</v>
      </c>
      <c r="L113" s="2"/>
      <c r="M113" s="5" t="n">
        <v>0</v>
      </c>
      <c r="N113" s="5" t="n">
        <v>-90</v>
      </c>
      <c r="O113" s="5"/>
      <c r="P113" s="2" t="n">
        <f aca="false">SQRT(C113^2+D113^2)</f>
        <v>174.413302244984</v>
      </c>
    </row>
    <row r="114" customFormat="false" ht="15.75" hidden="false" customHeight="false" outlineLevel="0" collapsed="false">
      <c r="B114" s="1" t="s">
        <v>126</v>
      </c>
      <c r="C114" s="1" t="n">
        <v>-132</v>
      </c>
      <c r="D114" s="1" t="n">
        <v>-0.4</v>
      </c>
      <c r="E114" s="1" t="n">
        <v>297</v>
      </c>
      <c r="F114" s="0" t="n">
        <f aca="false">E114+69</f>
        <v>366</v>
      </c>
      <c r="G114" s="2"/>
      <c r="H114" s="2" t="n">
        <v>113</v>
      </c>
      <c r="I114" s="2" t="n">
        <f aca="false">C114/248.3</f>
        <v>-0.531614981876762</v>
      </c>
      <c r="J114" s="2" t="n">
        <f aca="false">D114/315</f>
        <v>-0.00126984126984127</v>
      </c>
      <c r="K114" s="0" t="n">
        <f aca="false">F114/366</f>
        <v>1</v>
      </c>
      <c r="L114" s="2"/>
      <c r="M114" s="5" t="n">
        <v>0</v>
      </c>
      <c r="N114" s="5" t="n">
        <v>-90</v>
      </c>
      <c r="O114" s="5"/>
      <c r="P114" s="2" t="n">
        <f aca="false">SQRT(C114^2+D114^2)</f>
        <v>132.000606059215</v>
      </c>
    </row>
    <row r="115" customFormat="false" ht="15.75" hidden="false" customHeight="false" outlineLevel="0" collapsed="false">
      <c r="B115" s="1" t="s">
        <v>127</v>
      </c>
      <c r="C115" s="1" t="n">
        <v>-36</v>
      </c>
      <c r="D115" s="1" t="n">
        <v>-0.4</v>
      </c>
      <c r="E115" s="1" t="n">
        <v>297</v>
      </c>
      <c r="F115" s="0" t="n">
        <f aca="false">E115+69</f>
        <v>366</v>
      </c>
      <c r="G115" s="2"/>
      <c r="H115" s="2" t="n">
        <v>114</v>
      </c>
      <c r="I115" s="2" t="n">
        <f aca="false">C115/248.3</f>
        <v>-0.144985904148208</v>
      </c>
      <c r="J115" s="2" t="n">
        <f aca="false">D115/315</f>
        <v>-0.00126984126984127</v>
      </c>
      <c r="K115" s="0" t="n">
        <f aca="false">F115/366</f>
        <v>1</v>
      </c>
      <c r="L115" s="2"/>
      <c r="M115" s="5" t="n">
        <v>0</v>
      </c>
      <c r="N115" s="5" t="n">
        <v>-90</v>
      </c>
      <c r="O115" s="5"/>
      <c r="P115" s="2" t="n">
        <f aca="false">SQRT(C115^2+D115^2)</f>
        <v>36.0022221536394</v>
      </c>
    </row>
    <row r="116" customFormat="false" ht="15.75" hidden="false" customHeight="false" outlineLevel="0" collapsed="false">
      <c r="B116" s="1" t="s">
        <v>128</v>
      </c>
      <c r="C116" s="1" t="n">
        <v>36</v>
      </c>
      <c r="D116" s="1" t="n">
        <v>-0.4</v>
      </c>
      <c r="E116" s="1" t="n">
        <v>297</v>
      </c>
      <c r="F116" s="0" t="n">
        <f aca="false">E116+69</f>
        <v>366</v>
      </c>
      <c r="G116" s="2"/>
      <c r="H116" s="2" t="n">
        <v>115</v>
      </c>
      <c r="I116" s="2" t="n">
        <f aca="false">C116/248.3</f>
        <v>0.144985904148208</v>
      </c>
      <c r="J116" s="2" t="n">
        <f aca="false">D116/315</f>
        <v>-0.00126984126984127</v>
      </c>
      <c r="K116" s="0" t="n">
        <f aca="false">F116/366</f>
        <v>1</v>
      </c>
      <c r="L116" s="2"/>
      <c r="M116" s="5" t="n">
        <v>0</v>
      </c>
      <c r="N116" s="5" t="n">
        <v>-90</v>
      </c>
      <c r="O116" s="5"/>
      <c r="P116" s="2" t="n">
        <f aca="false">SQRT(C116^2+D116^2)</f>
        <v>36.0022221536394</v>
      </c>
    </row>
    <row r="117" customFormat="false" ht="15.75" hidden="false" customHeight="false" outlineLevel="0" collapsed="false">
      <c r="B117" s="1" t="s">
        <v>129</v>
      </c>
      <c r="C117" s="1" t="n">
        <v>132</v>
      </c>
      <c r="D117" s="1" t="n">
        <v>-0.4</v>
      </c>
      <c r="E117" s="1" t="n">
        <v>297</v>
      </c>
      <c r="F117" s="0" t="n">
        <f aca="false">E117+69</f>
        <v>366</v>
      </c>
      <c r="G117" s="2"/>
      <c r="H117" s="2" t="n">
        <v>116</v>
      </c>
      <c r="I117" s="2" t="n">
        <f aca="false">C117/248.3</f>
        <v>0.531614981876762</v>
      </c>
      <c r="J117" s="2" t="n">
        <f aca="false">D117/315</f>
        <v>-0.00126984126984127</v>
      </c>
      <c r="K117" s="0" t="n">
        <f aca="false">F117/366</f>
        <v>1</v>
      </c>
      <c r="L117" s="2"/>
      <c r="M117" s="5" t="n">
        <v>0</v>
      </c>
      <c r="N117" s="5" t="n">
        <v>-90</v>
      </c>
      <c r="O117" s="5"/>
      <c r="P117" s="2" t="n">
        <f aca="false">SQRT(C117^2+D117^2)</f>
        <v>132.000606059215</v>
      </c>
    </row>
    <row r="118" customFormat="false" ht="15.75" hidden="false" customHeight="false" outlineLevel="0" collapsed="false">
      <c r="B118" s="1" t="s">
        <v>130</v>
      </c>
      <c r="C118" s="1" t="n">
        <v>-132</v>
      </c>
      <c r="D118" s="1" t="n">
        <v>-114</v>
      </c>
      <c r="E118" s="1" t="n">
        <v>297</v>
      </c>
      <c r="F118" s="0" t="n">
        <f aca="false">E118+69</f>
        <v>366</v>
      </c>
      <c r="G118" s="2"/>
      <c r="H118" s="2" t="n">
        <v>117</v>
      </c>
      <c r="I118" s="2" t="n">
        <f aca="false">C118/248.3</f>
        <v>-0.531614981876762</v>
      </c>
      <c r="J118" s="2" t="n">
        <f aca="false">D118/315</f>
        <v>-0.361904761904762</v>
      </c>
      <c r="K118" s="0" t="n">
        <f aca="false">F118/366</f>
        <v>1</v>
      </c>
      <c r="L118" s="2"/>
      <c r="M118" s="5" t="n">
        <v>0</v>
      </c>
      <c r="N118" s="5" t="n">
        <v>-90</v>
      </c>
      <c r="O118" s="5"/>
      <c r="P118" s="2" t="n">
        <f aca="false">SQRT(C118^2+D118^2)</f>
        <v>174.413302244984</v>
      </c>
    </row>
    <row r="119" customFormat="false" ht="15.75" hidden="false" customHeight="false" outlineLevel="0" collapsed="false">
      <c r="B119" s="1" t="s">
        <v>131</v>
      </c>
      <c r="C119" s="1" t="n">
        <v>-36</v>
      </c>
      <c r="D119" s="1" t="n">
        <v>-114</v>
      </c>
      <c r="E119" s="1" t="n">
        <v>297</v>
      </c>
      <c r="F119" s="0" t="n">
        <f aca="false">E119+69</f>
        <v>366</v>
      </c>
      <c r="G119" s="2"/>
      <c r="H119" s="2" t="n">
        <v>118</v>
      </c>
      <c r="I119" s="2" t="n">
        <f aca="false">C119/248.3</f>
        <v>-0.144985904148208</v>
      </c>
      <c r="J119" s="2" t="n">
        <f aca="false">D119/315</f>
        <v>-0.361904761904762</v>
      </c>
      <c r="K119" s="0" t="n">
        <f aca="false">F119/366</f>
        <v>1</v>
      </c>
      <c r="L119" s="2"/>
      <c r="M119" s="5" t="n">
        <v>0</v>
      </c>
      <c r="N119" s="5" t="n">
        <v>-90</v>
      </c>
      <c r="O119" s="5"/>
      <c r="P119" s="2" t="n">
        <f aca="false">SQRT(C119^2+D119^2)</f>
        <v>119.549153071028</v>
      </c>
    </row>
    <row r="120" customFormat="false" ht="15.75" hidden="false" customHeight="false" outlineLevel="0" collapsed="false">
      <c r="B120" s="1" t="s">
        <v>132</v>
      </c>
      <c r="C120" s="1" t="n">
        <v>36</v>
      </c>
      <c r="D120" s="1" t="n">
        <v>-114</v>
      </c>
      <c r="E120" s="1" t="n">
        <v>297</v>
      </c>
      <c r="F120" s="0" t="n">
        <f aca="false">E120+69</f>
        <v>366</v>
      </c>
      <c r="G120" s="2"/>
      <c r="H120" s="2" t="n">
        <v>119</v>
      </c>
      <c r="I120" s="2" t="n">
        <f aca="false">C120/248.3</f>
        <v>0.144985904148208</v>
      </c>
      <c r="J120" s="2" t="n">
        <f aca="false">D120/315</f>
        <v>-0.361904761904762</v>
      </c>
      <c r="K120" s="0" t="n">
        <f aca="false">F120/366</f>
        <v>1</v>
      </c>
      <c r="L120" s="2"/>
      <c r="M120" s="5" t="n">
        <v>0</v>
      </c>
      <c r="N120" s="5" t="n">
        <v>-90</v>
      </c>
      <c r="O120" s="5"/>
      <c r="P120" s="2" t="n">
        <f aca="false">SQRT(C120^2+D120^2)</f>
        <v>119.549153071028</v>
      </c>
    </row>
    <row r="121" customFormat="false" ht="15.75" hidden="false" customHeight="false" outlineLevel="0" collapsed="false">
      <c r="B121" s="1" t="s">
        <v>133</v>
      </c>
      <c r="C121" s="1" t="n">
        <v>132</v>
      </c>
      <c r="D121" s="1" t="n">
        <v>-114</v>
      </c>
      <c r="E121" s="1" t="n">
        <v>297</v>
      </c>
      <c r="F121" s="0" t="n">
        <f aca="false">E121+69</f>
        <v>366</v>
      </c>
      <c r="G121" s="2"/>
      <c r="H121" s="2" t="n">
        <v>120</v>
      </c>
      <c r="I121" s="2" t="n">
        <f aca="false">C121/248.3</f>
        <v>0.531614981876762</v>
      </c>
      <c r="J121" s="2" t="n">
        <f aca="false">D121/315</f>
        <v>-0.361904761904762</v>
      </c>
      <c r="K121" s="0" t="n">
        <f aca="false">F121/366</f>
        <v>1</v>
      </c>
      <c r="L121" s="2"/>
      <c r="M121" s="5" t="n">
        <v>0</v>
      </c>
      <c r="N121" s="5" t="n">
        <v>-90</v>
      </c>
      <c r="O121" s="5"/>
      <c r="P121" s="2" t="n">
        <f aca="false">SQRT(C121^2+D121^2)</f>
        <v>174.413302244984</v>
      </c>
    </row>
    <row r="122" customFormat="false" ht="15.75" hidden="false" customHeight="false" outlineLevel="0" collapsed="false">
      <c r="B122" s="1" t="s">
        <v>134</v>
      </c>
      <c r="C122" s="1" t="n">
        <v>-132</v>
      </c>
      <c r="D122" s="1" t="n">
        <v>-228.8</v>
      </c>
      <c r="E122" s="1" t="n">
        <v>297</v>
      </c>
      <c r="F122" s="0" t="n">
        <f aca="false">E122+69</f>
        <v>366</v>
      </c>
      <c r="G122" s="2"/>
      <c r="H122" s="2" t="n">
        <v>121</v>
      </c>
      <c r="I122" s="2" t="n">
        <f aca="false">C122/248.3</f>
        <v>-0.531614981876762</v>
      </c>
      <c r="J122" s="2" t="n">
        <f aca="false">D122/315</f>
        <v>-0.726349206349206</v>
      </c>
      <c r="K122" s="0" t="n">
        <f aca="false">F122/366</f>
        <v>1</v>
      </c>
      <c r="L122" s="2"/>
      <c r="M122" s="5" t="n">
        <v>0</v>
      </c>
      <c r="N122" s="5" t="n">
        <v>-90</v>
      </c>
      <c r="O122" s="5"/>
      <c r="P122" s="2" t="n">
        <f aca="false">SQRT(C122^2+D122^2)</f>
        <v>264.146625948544</v>
      </c>
    </row>
    <row r="123" customFormat="false" ht="15.75" hidden="false" customHeight="false" outlineLevel="0" collapsed="false">
      <c r="B123" s="1" t="s">
        <v>135</v>
      </c>
      <c r="C123" s="1" t="n">
        <v>-36</v>
      </c>
      <c r="D123" s="1" t="n">
        <v>-228.8</v>
      </c>
      <c r="E123" s="1" t="n">
        <v>297</v>
      </c>
      <c r="F123" s="0" t="n">
        <f aca="false">E123+69</f>
        <v>366</v>
      </c>
      <c r="G123" s="2"/>
      <c r="H123" s="2" t="n">
        <v>122</v>
      </c>
      <c r="I123" s="2" t="n">
        <f aca="false">C123/248.3</f>
        <v>-0.144985904148208</v>
      </c>
      <c r="J123" s="2" t="n">
        <f aca="false">D123/315</f>
        <v>-0.726349206349206</v>
      </c>
      <c r="K123" s="0" t="n">
        <f aca="false">F123/366</f>
        <v>1</v>
      </c>
      <c r="L123" s="2"/>
      <c r="M123" s="5" t="n">
        <v>0</v>
      </c>
      <c r="N123" s="5" t="n">
        <v>-90</v>
      </c>
      <c r="O123" s="5"/>
      <c r="P123" s="2" t="n">
        <f aca="false">SQRT(C123^2+D123^2)</f>
        <v>231.614852718905</v>
      </c>
    </row>
    <row r="124" customFormat="false" ht="15.75" hidden="false" customHeight="false" outlineLevel="0" collapsed="false">
      <c r="B124" s="1" t="s">
        <v>136</v>
      </c>
      <c r="C124" s="1" t="n">
        <v>36</v>
      </c>
      <c r="D124" s="1" t="n">
        <v>-228.8</v>
      </c>
      <c r="E124" s="1" t="n">
        <v>297</v>
      </c>
      <c r="F124" s="0" t="n">
        <f aca="false">E124+69</f>
        <v>366</v>
      </c>
      <c r="G124" s="2"/>
      <c r="H124" s="2" t="n">
        <v>123</v>
      </c>
      <c r="I124" s="2" t="n">
        <f aca="false">C124/248.3</f>
        <v>0.144985904148208</v>
      </c>
      <c r="J124" s="2" t="n">
        <f aca="false">D124/315</f>
        <v>-0.726349206349206</v>
      </c>
      <c r="K124" s="0" t="n">
        <f aca="false">F124/366</f>
        <v>1</v>
      </c>
      <c r="L124" s="2"/>
      <c r="M124" s="5" t="n">
        <v>0</v>
      </c>
      <c r="N124" s="5" t="n">
        <v>-90</v>
      </c>
      <c r="O124" s="5"/>
      <c r="P124" s="2" t="n">
        <f aca="false">SQRT(C124^2+D124^2)</f>
        <v>231.614852718905</v>
      </c>
    </row>
    <row r="125" customFormat="false" ht="15.75" hidden="false" customHeight="false" outlineLevel="0" collapsed="false">
      <c r="B125" s="1" t="s">
        <v>137</v>
      </c>
      <c r="C125" s="1" t="n">
        <v>132</v>
      </c>
      <c r="D125" s="1" t="n">
        <v>-228.8</v>
      </c>
      <c r="E125" s="1" t="n">
        <v>297</v>
      </c>
      <c r="F125" s="0" t="n">
        <f aca="false">E125+69</f>
        <v>366</v>
      </c>
      <c r="G125" s="2"/>
      <c r="H125" s="2" t="n">
        <v>124</v>
      </c>
      <c r="I125" s="2" t="n">
        <f aca="false">C125/248.3</f>
        <v>0.531614981876762</v>
      </c>
      <c r="J125" s="2" t="n">
        <f aca="false">D125/315</f>
        <v>-0.726349206349206</v>
      </c>
      <c r="K125" s="0" t="n">
        <f aca="false">F125/366</f>
        <v>1</v>
      </c>
      <c r="L125" s="2"/>
      <c r="M125" s="5" t="n">
        <v>0</v>
      </c>
      <c r="N125" s="5" t="n">
        <v>-90</v>
      </c>
      <c r="O125" s="5"/>
      <c r="P125" s="2" t="n">
        <f aca="false">SQRT(C125^2+D125^2)</f>
        <v>264.146625948544</v>
      </c>
    </row>
    <row r="126" customFormat="false" ht="15.75" hidden="false" customHeight="false" outlineLevel="0" collapsed="false">
      <c r="A126" s="2" t="s">
        <v>138</v>
      </c>
      <c r="B126" s="11" t="s">
        <v>139</v>
      </c>
      <c r="C126" s="12" t="n">
        <v>-248</v>
      </c>
      <c r="D126" s="12" t="n">
        <v>-161</v>
      </c>
      <c r="E126" s="11" t="n">
        <v>-45</v>
      </c>
      <c r="F126" s="11" t="n">
        <v>32</v>
      </c>
      <c r="G126" s="11"/>
      <c r="H126" s="11" t="n">
        <v>125</v>
      </c>
      <c r="I126" s="11" t="n">
        <f aca="false">C126/248.3</f>
        <v>-0.998791784132098</v>
      </c>
      <c r="J126" s="11" t="n">
        <f aca="false">D126/315</f>
        <v>-0.511111111111111</v>
      </c>
      <c r="K126" s="11" t="n">
        <f aca="false">F126/366</f>
        <v>0.087431693989071</v>
      </c>
      <c r="L126" s="2"/>
      <c r="M126" s="5" t="n">
        <v>90</v>
      </c>
      <c r="N126" s="5" t="n">
        <f aca="false">(Q126/PI())*-180</f>
        <v>-0</v>
      </c>
      <c r="O126" s="5"/>
      <c r="P126" s="2" t="n">
        <f aca="false">SQRT(C126^2+D126^2)</f>
        <v>295.67718883945</v>
      </c>
    </row>
    <row r="127" customFormat="false" ht="15.75" hidden="false" customHeight="false" outlineLevel="0" collapsed="false">
      <c r="B127" s="11" t="s">
        <v>140</v>
      </c>
      <c r="C127" s="12" t="n">
        <v>-248</v>
      </c>
      <c r="D127" s="12" t="n">
        <v>189</v>
      </c>
      <c r="E127" s="11" t="n">
        <v>-45</v>
      </c>
      <c r="F127" s="11" t="n">
        <v>32</v>
      </c>
      <c r="G127" s="11"/>
      <c r="H127" s="11" t="n">
        <v>126</v>
      </c>
      <c r="I127" s="11" t="n">
        <f aca="false">C127/248.3</f>
        <v>-0.998791784132098</v>
      </c>
      <c r="J127" s="11" t="n">
        <f aca="false">D127/315</f>
        <v>0.6</v>
      </c>
      <c r="K127" s="11" t="n">
        <f aca="false">F127/366</f>
        <v>0.087431693989071</v>
      </c>
      <c r="L127" s="2"/>
      <c r="M127" s="5" t="n">
        <v>90</v>
      </c>
      <c r="N127" s="5" t="n">
        <f aca="false">(Q127/PI())*-180</f>
        <v>-0</v>
      </c>
      <c r="O127" s="5"/>
      <c r="P127" s="2" t="n">
        <f aca="false">SQRT(C127^2+D127^2)</f>
        <v>311.809236553377</v>
      </c>
    </row>
    <row r="128" customFormat="false" ht="15.75" hidden="false" customHeight="false" outlineLevel="0" collapsed="false">
      <c r="B128" s="2" t="s">
        <v>141</v>
      </c>
      <c r="C128" s="13" t="n">
        <v>-94</v>
      </c>
      <c r="D128" s="13" t="n">
        <v>-295</v>
      </c>
      <c r="E128" s="2" t="n">
        <v>-45</v>
      </c>
      <c r="F128" s="2" t="n">
        <v>32</v>
      </c>
      <c r="G128" s="2"/>
      <c r="H128" s="11" t="n">
        <v>127</v>
      </c>
      <c r="I128" s="2" t="n">
        <f aca="false">C128/248.3</f>
        <v>-0.378574305275876</v>
      </c>
      <c r="J128" s="2" t="n">
        <f aca="false">D128/315</f>
        <v>-0.936507936507937</v>
      </c>
      <c r="K128" s="0" t="n">
        <f aca="false">F128/366</f>
        <v>0.087431693989071</v>
      </c>
      <c r="L128" s="2"/>
      <c r="M128" s="5" t="n">
        <v>0</v>
      </c>
      <c r="N128" s="5" t="n">
        <f aca="false">(Q128/PI())*-180</f>
        <v>-0</v>
      </c>
      <c r="O128" s="5"/>
      <c r="P128" s="2" t="n">
        <f aca="false">SQRT(C128^2+D128^2)</f>
        <v>309.61427615664</v>
      </c>
    </row>
    <row r="129" customFormat="false" ht="15.75" hidden="false" customHeight="false" outlineLevel="0" collapsed="false">
      <c r="B129" s="2" t="s">
        <v>142</v>
      </c>
      <c r="C129" s="13" t="n">
        <v>-94</v>
      </c>
      <c r="D129" s="13" t="n">
        <v>295</v>
      </c>
      <c r="E129" s="2" t="n">
        <v>-45</v>
      </c>
      <c r="F129" s="2" t="n">
        <v>32</v>
      </c>
      <c r="G129" s="2"/>
      <c r="H129" s="11" t="n">
        <v>128</v>
      </c>
      <c r="I129" s="2" t="n">
        <f aca="false">C129/248.3</f>
        <v>-0.378574305275876</v>
      </c>
      <c r="J129" s="2" t="n">
        <f aca="false">D129/315</f>
        <v>0.936507936507937</v>
      </c>
      <c r="K129" s="0" t="n">
        <f aca="false">F129/366</f>
        <v>0.087431693989071</v>
      </c>
      <c r="L129" s="2"/>
      <c r="M129" s="5" t="n">
        <v>180</v>
      </c>
      <c r="N129" s="5" t="n">
        <f aca="false">(Q129/PI())*-180</f>
        <v>-0</v>
      </c>
      <c r="O129" s="5"/>
      <c r="P129" s="2" t="n">
        <f aca="false">SQRT(C129^2+D129^2)</f>
        <v>309.61427615664</v>
      </c>
    </row>
    <row r="130" customFormat="false" ht="15.75" hidden="false" customHeight="false" outlineLevel="0" collapsed="false">
      <c r="B130" s="2" t="s">
        <v>143</v>
      </c>
      <c r="C130" s="13" t="n">
        <v>126</v>
      </c>
      <c r="D130" s="13" t="n">
        <v>-295</v>
      </c>
      <c r="E130" s="2" t="n">
        <v>-45</v>
      </c>
      <c r="F130" s="2" t="n">
        <v>32</v>
      </c>
      <c r="G130" s="2"/>
      <c r="H130" s="11" t="n">
        <v>129</v>
      </c>
      <c r="I130" s="2" t="n">
        <f aca="false">C130/248.3</f>
        <v>0.507450664518727</v>
      </c>
      <c r="J130" s="2" t="n">
        <f aca="false">D130/315</f>
        <v>-0.936507936507937</v>
      </c>
      <c r="K130" s="0" t="n">
        <f aca="false">F130/366</f>
        <v>0.087431693989071</v>
      </c>
      <c r="L130" s="2"/>
      <c r="M130" s="5" t="n">
        <v>0</v>
      </c>
      <c r="N130" s="5" t="n">
        <f aca="false">(Q130/PI())*-180</f>
        <v>-0</v>
      </c>
      <c r="O130" s="5"/>
      <c r="P130" s="2" t="n">
        <f aca="false">SQRT(C130^2+D130^2)</f>
        <v>320.781857342338</v>
      </c>
    </row>
    <row r="131" customFormat="false" ht="15.75" hidden="false" customHeight="false" outlineLevel="0" collapsed="false">
      <c r="B131" s="2" t="s">
        <v>144</v>
      </c>
      <c r="C131" s="13" t="n">
        <v>126</v>
      </c>
      <c r="D131" s="13" t="n">
        <v>295</v>
      </c>
      <c r="E131" s="2" t="n">
        <v>-45</v>
      </c>
      <c r="F131" s="2" t="n">
        <v>32</v>
      </c>
      <c r="G131" s="2"/>
      <c r="H131" s="11" t="n">
        <v>130</v>
      </c>
      <c r="I131" s="2" t="n">
        <f aca="false">C131/248.3</f>
        <v>0.507450664518727</v>
      </c>
      <c r="J131" s="2" t="n">
        <f aca="false">D131/315</f>
        <v>0.936507936507937</v>
      </c>
      <c r="K131" s="0" t="n">
        <f aca="false">F131/366</f>
        <v>0.087431693989071</v>
      </c>
      <c r="L131" s="2"/>
      <c r="M131" s="5" t="n">
        <v>180</v>
      </c>
      <c r="N131" s="5" t="n">
        <f aca="false">(Q131/PI())*-180</f>
        <v>-0</v>
      </c>
      <c r="O131" s="5"/>
      <c r="P131" s="2" t="n">
        <f aca="false">SQRT(C131^2+D131^2)</f>
        <v>320.781857342338</v>
      </c>
    </row>
    <row r="132" customFormat="false" ht="15.75" hidden="false" customHeight="false" outlineLevel="0" collapsed="false">
      <c r="B132" s="2" t="s">
        <v>145</v>
      </c>
      <c r="C132" s="13" t="n">
        <v>248</v>
      </c>
      <c r="D132" s="13" t="n">
        <v>-161</v>
      </c>
      <c r="E132" s="2" t="n">
        <v>-45</v>
      </c>
      <c r="F132" s="2" t="n">
        <v>32</v>
      </c>
      <c r="G132" s="2"/>
      <c r="H132" s="11" t="n">
        <v>131</v>
      </c>
      <c r="I132" s="2" t="n">
        <f aca="false">C132/248.3</f>
        <v>0.998791784132098</v>
      </c>
      <c r="J132" s="2" t="n">
        <f aca="false">D132/315</f>
        <v>-0.511111111111111</v>
      </c>
      <c r="K132" s="0" t="n">
        <f aca="false">F132/366</f>
        <v>0.087431693989071</v>
      </c>
      <c r="L132" s="2"/>
      <c r="M132" s="5" t="n">
        <v>270</v>
      </c>
      <c r="N132" s="5" t="n">
        <f aca="false">(Q132/PI())*-180</f>
        <v>-0</v>
      </c>
      <c r="O132" s="5"/>
      <c r="P132" s="2" t="n">
        <f aca="false">SQRT(C132^2+D132^2)</f>
        <v>295.67718883945</v>
      </c>
    </row>
    <row r="133" customFormat="false" ht="15.75" hidden="false" customHeight="false" outlineLevel="0" collapsed="false">
      <c r="B133" s="2" t="s">
        <v>146</v>
      </c>
      <c r="C133" s="13" t="n">
        <v>248</v>
      </c>
      <c r="D133" s="13" t="n">
        <v>189</v>
      </c>
      <c r="E133" s="2" t="n">
        <v>-45</v>
      </c>
      <c r="F133" s="2" t="n">
        <v>32</v>
      </c>
      <c r="G133" s="2"/>
      <c r="H133" s="11" t="n">
        <v>132</v>
      </c>
      <c r="I133" s="2" t="n">
        <f aca="false">C133/248.3</f>
        <v>0.998791784132098</v>
      </c>
      <c r="J133" s="2" t="n">
        <f aca="false">D133/315</f>
        <v>0.6</v>
      </c>
      <c r="K133" s="0" t="n">
        <f aca="false">F133/366</f>
        <v>0.087431693989071</v>
      </c>
      <c r="L133" s="2"/>
      <c r="M133" s="5" t="n">
        <v>270</v>
      </c>
      <c r="N133" s="5" t="n">
        <f aca="false">(Q133/PI())*-180</f>
        <v>-0</v>
      </c>
      <c r="O133" s="5"/>
      <c r="P133" s="2" t="n">
        <f aca="false">SQRT(C133^2+D133^2)</f>
        <v>311.809236553377</v>
      </c>
    </row>
    <row r="134" customFormat="false" ht="15.75" hidden="false" customHeight="false" outlineLevel="0" collapsed="false">
      <c r="B134" s="11" t="s">
        <v>147</v>
      </c>
      <c r="C134" s="12" t="n">
        <v>-248</v>
      </c>
      <c r="D134" s="12" t="n">
        <v>0</v>
      </c>
      <c r="E134" s="11" t="n">
        <v>-45</v>
      </c>
      <c r="F134" s="11" t="n">
        <v>32</v>
      </c>
      <c r="G134" s="11"/>
      <c r="H134" s="11" t="n">
        <v>133</v>
      </c>
      <c r="I134" s="11" t="n">
        <f aca="false">C134/248.3</f>
        <v>-0.998791784132098</v>
      </c>
      <c r="J134" s="11" t="n">
        <f aca="false">D134/315</f>
        <v>0</v>
      </c>
      <c r="K134" s="11" t="n">
        <f aca="false">F134/366</f>
        <v>0.087431693989071</v>
      </c>
      <c r="L134" s="2"/>
      <c r="M134" s="5" t="n">
        <v>90</v>
      </c>
      <c r="N134" s="5" t="n">
        <f aca="false">(Q134/PI())*-180</f>
        <v>-0</v>
      </c>
      <c r="O134" s="5"/>
      <c r="P134" s="2" t="n">
        <f aca="false">SQRT(C134^2+D134^2)</f>
        <v>248</v>
      </c>
    </row>
    <row r="135" customFormat="false" ht="15.75" hidden="false" customHeight="false" outlineLevel="0" collapsed="false">
      <c r="B135" s="2" t="s">
        <v>148</v>
      </c>
      <c r="C135" s="13" t="n">
        <v>248</v>
      </c>
      <c r="D135" s="13" t="n">
        <v>0</v>
      </c>
      <c r="E135" s="2" t="n">
        <v>-45</v>
      </c>
      <c r="F135" s="2" t="n">
        <v>32</v>
      </c>
      <c r="G135" s="2"/>
      <c r="H135" s="11" t="n">
        <v>134</v>
      </c>
      <c r="I135" s="2" t="n">
        <f aca="false">C135/248.3</f>
        <v>0.998791784132098</v>
      </c>
      <c r="J135" s="2" t="n">
        <f aca="false">D135/315</f>
        <v>0</v>
      </c>
      <c r="K135" s="0" t="n">
        <f aca="false">F135/366</f>
        <v>0.087431693989071</v>
      </c>
      <c r="L135" s="2"/>
      <c r="M135" s="5" t="n">
        <v>270</v>
      </c>
      <c r="N135" s="5" t="n">
        <f aca="false">(Q135/PI())*-180</f>
        <v>-0</v>
      </c>
      <c r="O135" s="5"/>
      <c r="P135" s="2" t="n">
        <f aca="false">SQRT(C135^2+D135^2)</f>
        <v>248</v>
      </c>
    </row>
    <row r="136" customFormat="false" ht="15.75" hidden="false" customHeight="false" outlineLevel="0" collapsed="false">
      <c r="A136" s="2" t="s">
        <v>149</v>
      </c>
      <c r="B136" s="2" t="s">
        <v>150</v>
      </c>
      <c r="C136" s="13" t="n">
        <v>-200</v>
      </c>
      <c r="D136" s="13" t="n">
        <v>-269</v>
      </c>
      <c r="F136" s="2" t="n">
        <v>12</v>
      </c>
    </row>
    <row r="137" customFormat="false" ht="15.75" hidden="false" customHeight="false" outlineLevel="0" collapsed="false">
      <c r="B137" s="2" t="s">
        <v>151</v>
      </c>
      <c r="C137" s="2" t="n">
        <v>-200</v>
      </c>
      <c r="D137" s="2" t="n">
        <v>269</v>
      </c>
      <c r="F137" s="2" t="n">
        <v>12</v>
      </c>
    </row>
    <row r="138" customFormat="false" ht="15.75" hidden="false" customHeight="true" outlineLevel="0" collapsed="false">
      <c r="A138" s="0" t="s">
        <v>152</v>
      </c>
      <c r="B138" s="0" t="s">
        <v>153</v>
      </c>
      <c r="C138" s="0" t="n">
        <f aca="false">-142/2</f>
        <v>-71</v>
      </c>
      <c r="D138" s="0" t="n">
        <f aca="false">58.5/2</f>
        <v>29.25</v>
      </c>
      <c r="F138" s="0" t="n">
        <f aca="false">12*24</f>
        <v>288</v>
      </c>
      <c r="H138" s="14" t="n">
        <v>135</v>
      </c>
      <c r="I138" s="2" t="n">
        <f aca="false">C138/248.3</f>
        <v>-0.285944422070077</v>
      </c>
      <c r="J138" s="2" t="n">
        <f aca="false">D138/315</f>
        <v>0.0928571428571429</v>
      </c>
      <c r="K138" s="0" t="n">
        <f aca="false">F138/366</f>
        <v>0.786885245901639</v>
      </c>
    </row>
    <row r="139" customFormat="false" ht="15.75" hidden="false" customHeight="true" outlineLevel="0" collapsed="false">
      <c r="B139" s="0" t="s">
        <v>154</v>
      </c>
      <c r="C139" s="0" t="n">
        <v>-71</v>
      </c>
      <c r="D139" s="0" t="n">
        <f aca="false">-58.5/2</f>
        <v>-29.25</v>
      </c>
      <c r="F139" s="0" t="n">
        <f aca="false">12*24</f>
        <v>288</v>
      </c>
      <c r="H139" s="14" t="n">
        <v>136</v>
      </c>
      <c r="I139" s="2" t="n">
        <f aca="false">C139/248.3</f>
        <v>-0.285944422070077</v>
      </c>
      <c r="J139" s="15" t="n">
        <f aca="false">D139/315</f>
        <v>-0.0928571428571429</v>
      </c>
      <c r="K139" s="0" t="n">
        <f aca="false">F139/366</f>
        <v>0.786885245901639</v>
      </c>
    </row>
    <row r="140" customFormat="false" ht="15.75" hidden="false" customHeight="true" outlineLevel="0" collapsed="false">
      <c r="B140" s="0" t="s">
        <v>155</v>
      </c>
      <c r="C140" s="0" t="n">
        <v>-30</v>
      </c>
      <c r="D140" s="0" t="n">
        <f aca="false">-141/2</f>
        <v>-70.5</v>
      </c>
      <c r="F140" s="0" t="n">
        <f aca="false">12*24</f>
        <v>288</v>
      </c>
      <c r="H140" s="14" t="n">
        <v>137</v>
      </c>
      <c r="I140" s="2" t="n">
        <f aca="false">C140/248.3</f>
        <v>-0.120821586790173</v>
      </c>
      <c r="J140" s="15" t="n">
        <f aca="false">D140/315</f>
        <v>-0.223809523809524</v>
      </c>
      <c r="K140" s="0" t="n">
        <f aca="false">F140/366</f>
        <v>0.786885245901639</v>
      </c>
    </row>
    <row r="141" customFormat="false" ht="15.75" hidden="false" customHeight="true" outlineLevel="0" collapsed="false">
      <c r="B141" s="0" t="s">
        <v>156</v>
      </c>
      <c r="C141" s="0" t="n">
        <v>30</v>
      </c>
      <c r="D141" s="0" t="n">
        <f aca="false">-141/2</f>
        <v>-70.5</v>
      </c>
      <c r="F141" s="0" t="n">
        <f aca="false">12*24</f>
        <v>288</v>
      </c>
      <c r="H141" s="14" t="n">
        <v>138</v>
      </c>
      <c r="I141" s="2" t="n">
        <f aca="false">C141/248.3</f>
        <v>0.120821586790173</v>
      </c>
      <c r="J141" s="15" t="n">
        <f aca="false">D141/315</f>
        <v>-0.223809523809524</v>
      </c>
      <c r="K141" s="0" t="n">
        <f aca="false">F141/366</f>
        <v>0.786885245901639</v>
      </c>
    </row>
    <row r="142" customFormat="false" ht="15.75" hidden="false" customHeight="true" outlineLevel="0" collapsed="false">
      <c r="B142" s="0" t="s">
        <v>157</v>
      </c>
      <c r="C142" s="0" t="n">
        <v>71</v>
      </c>
      <c r="D142" s="0" t="n">
        <f aca="false">-58.5/2</f>
        <v>-29.25</v>
      </c>
      <c r="F142" s="0" t="n">
        <f aca="false">12*24</f>
        <v>288</v>
      </c>
      <c r="H142" s="14" t="n">
        <v>139</v>
      </c>
      <c r="I142" s="2" t="n">
        <f aca="false">C142/248.3</f>
        <v>0.285944422070077</v>
      </c>
      <c r="J142" s="15" t="n">
        <f aca="false">D142/315</f>
        <v>-0.0928571428571429</v>
      </c>
      <c r="K142" s="15" t="n">
        <f aca="false">F142/366</f>
        <v>0.786885245901639</v>
      </c>
    </row>
    <row r="143" customFormat="false" ht="12.8" hidden="false" customHeight="false" outlineLevel="0" collapsed="false">
      <c r="B143" s="0" t="s">
        <v>158</v>
      </c>
      <c r="C143" s="0" t="n">
        <v>71</v>
      </c>
      <c r="D143" s="0" t="n">
        <f aca="false">58.5/2</f>
        <v>29.25</v>
      </c>
      <c r="E143" s="13" t="n">
        <v>-45</v>
      </c>
      <c r="F143" s="0" t="n">
        <f aca="false">12*24</f>
        <v>288</v>
      </c>
      <c r="H143" s="14" t="n">
        <v>140</v>
      </c>
      <c r="I143" s="2" t="n">
        <f aca="false">C143/248.3</f>
        <v>0.285944422070077</v>
      </c>
      <c r="J143" s="15" t="n">
        <f aca="false">D143/315</f>
        <v>0.0928571428571429</v>
      </c>
      <c r="K143" s="0" t="n">
        <f aca="false">F143/366</f>
        <v>0.786885245901639</v>
      </c>
    </row>
    <row r="144" customFormat="false" ht="12.8" hidden="false" customHeight="false" outlineLevel="0" collapsed="false">
      <c r="B144" s="0" t="s">
        <v>159</v>
      </c>
      <c r="C144" s="0" t="n">
        <v>30</v>
      </c>
      <c r="D144" s="0" t="n">
        <f aca="false">141/2</f>
        <v>70.5</v>
      </c>
      <c r="E144" s="13" t="n">
        <v>-45</v>
      </c>
      <c r="F144" s="0" t="n">
        <f aca="false">12*24</f>
        <v>288</v>
      </c>
      <c r="H144" s="14" t="n">
        <v>141</v>
      </c>
      <c r="I144" s="2" t="n">
        <f aca="false">C144/248.3</f>
        <v>0.120821586790173</v>
      </c>
      <c r="J144" s="15" t="n">
        <f aca="false">D144/315</f>
        <v>0.223809523809524</v>
      </c>
      <c r="K144" s="0" t="n">
        <f aca="false">F144/366</f>
        <v>0.786885245901639</v>
      </c>
    </row>
    <row r="145" customFormat="false" ht="12.8" hidden="false" customHeight="false" outlineLevel="0" collapsed="false">
      <c r="B145" s="0" t="s">
        <v>160</v>
      </c>
      <c r="C145" s="0" t="n">
        <v>-30</v>
      </c>
      <c r="D145" s="0" t="n">
        <f aca="false">141/2</f>
        <v>70.5</v>
      </c>
      <c r="E145" s="13" t="n">
        <v>-45</v>
      </c>
      <c r="F145" s="0" t="n">
        <f aca="false">12*24</f>
        <v>288</v>
      </c>
      <c r="H145" s="14" t="n">
        <v>142</v>
      </c>
      <c r="I145" s="2" t="n">
        <f aca="false">C145/248.3</f>
        <v>-0.120821586790173</v>
      </c>
      <c r="J145" s="15" t="n">
        <f aca="false">D145/315</f>
        <v>0.223809523809524</v>
      </c>
      <c r="K145" s="0" t="n">
        <f aca="false">F145/366</f>
        <v>0.786885245901639</v>
      </c>
    </row>
    <row r="146" customFormat="false" ht="15.75" hidden="false" customHeight="false" outlineLevel="0" collapsed="false">
      <c r="E146" s="13" t="n">
        <v>-45</v>
      </c>
      <c r="J146" s="2"/>
    </row>
    <row r="147" customFormat="false" ht="15.75" hidden="false" customHeight="false" outlineLevel="0" collapsed="false">
      <c r="E147" s="13" t="n">
        <v>-45</v>
      </c>
    </row>
    <row r="148" customFormat="false" ht="15.75" hidden="false" customHeight="false" outlineLevel="0" collapsed="false">
      <c r="E148" s="13" t="n">
        <v>-45</v>
      </c>
    </row>
    <row r="149" customFormat="false" ht="15.75" hidden="false" customHeight="false" outlineLevel="0" collapsed="false">
      <c r="E149" s="13" t="n">
        <v>-45</v>
      </c>
    </row>
    <row r="150" customFormat="false" ht="12.75" hidden="false" customHeight="false" outlineLevel="0" collapsed="false">
      <c r="E150" s="13" t="n">
        <v>-45</v>
      </c>
    </row>
    <row r="151" customFormat="false" ht="12.75" hidden="false" customHeight="false" outlineLevel="0" collapsed="false">
      <c r="E151" s="13" t="n">
        <v>-45</v>
      </c>
    </row>
    <row r="152" customFormat="false" ht="12.75" hidden="false" customHeight="false" outlineLevel="0" collapsed="false">
      <c r="E152" s="13" t="n">
        <v>-45</v>
      </c>
    </row>
    <row r="153" customFormat="false" ht="12.75" hidden="false" customHeight="false" outlineLevel="0" collapsed="false">
      <c r="E153" s="13" t="n">
        <v>-55</v>
      </c>
    </row>
    <row r="1048576" customFormat="false" ht="15.75" hidden="false" customHeight="true" outlineLevel="0" collapsed="false">
      <c r="F1048576" s="0" t="n">
        <f aca="false">12*8</f>
        <v>96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48576"/>
  <sheetViews>
    <sheetView showFormulas="false" showGridLines="true" showRowColHeaders="true" showZeros="true" rightToLeft="false" tabSelected="true" showOutlineSymbols="true" defaultGridColor="true" view="normal" topLeftCell="A123" colorId="64" zoomScale="100" zoomScaleNormal="100" zoomScalePageLayoutView="100" workbookViewId="0">
      <selection pane="topLeft" activeCell="F145" activeCellId="0" sqref="F145"/>
    </sheetView>
  </sheetViews>
  <sheetFormatPr defaultColWidth="12.66796875" defaultRowHeight="15.75" customHeight="true" zeroHeight="false" outlineLevelRow="0" outlineLevelCol="0"/>
  <cols>
    <col collapsed="false" customWidth="true" hidden="false" outlineLevel="0" max="2" min="2" style="0" width="7.67"/>
    <col collapsed="false" customWidth="true" hidden="false" outlineLevel="0" max="3" min="3" style="0" width="5.66"/>
    <col collapsed="false" customWidth="false" hidden="true" outlineLevel="0" max="5" min="5" style="0" width="12.67"/>
    <col collapsed="false" customWidth="true" hidden="false" outlineLevel="0" max="6" min="6" style="0" width="5.16"/>
    <col collapsed="false" customWidth="true" hidden="false" outlineLevel="0" max="7" min="7" style="0" width="28.16"/>
    <col collapsed="false" customWidth="true" hidden="false" outlineLevel="0" max="8" min="8" style="0" width="3.67"/>
    <col collapsed="false" customWidth="true" hidden="false" outlineLevel="0" max="9" min="9" style="0" width="13.16"/>
    <col collapsed="false" customWidth="true" hidden="false" outlineLevel="0" max="10" min="10" style="0" width="14.67"/>
    <col collapsed="false" customWidth="true" hidden="false" outlineLevel="0" max="11" min="11" style="0" width="12.16"/>
    <col collapsed="false" customWidth="true" hidden="false" outlineLevel="0" max="12" min="12" style="0" width="10.66"/>
    <col collapsed="false" customWidth="true" hidden="false" outlineLevel="0" max="13" min="13" style="0" width="12.33"/>
    <col collapsed="false" customWidth="true" hidden="false" outlineLevel="0" max="15" min="14" style="0" width="12.83"/>
  </cols>
  <sheetData>
    <row r="1" customFormat="false" ht="15.75" hidden="false" customHeight="true" outlineLevel="0" collapsed="false">
      <c r="A1" s="0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4</v>
      </c>
      <c r="G1" s="2"/>
      <c r="H1" s="2"/>
      <c r="I1" s="2" t="s">
        <v>5</v>
      </c>
      <c r="M1" s="2" t="s">
        <v>6</v>
      </c>
      <c r="N1" s="2" t="s">
        <v>7</v>
      </c>
      <c r="O1" s="2"/>
      <c r="P1" s="2" t="s">
        <v>8</v>
      </c>
      <c r="Q1" s="2" t="s">
        <v>9</v>
      </c>
    </row>
    <row r="2" customFormat="false" ht="15.75" hidden="false" customHeight="true" outlineLevel="0" collapsed="false">
      <c r="A2" s="3" t="s">
        <v>10</v>
      </c>
      <c r="B2" s="1" t="s">
        <v>11</v>
      </c>
      <c r="C2" s="4" t="n">
        <v>-247.8</v>
      </c>
      <c r="D2" s="1" t="n">
        <v>267.5</v>
      </c>
      <c r="E2" s="1" t="n">
        <v>15</v>
      </c>
      <c r="F2" s="0" t="n">
        <f aca="false">E2+69</f>
        <v>84</v>
      </c>
      <c r="G2" s="2"/>
      <c r="H2" s="2" t="n">
        <v>1</v>
      </c>
      <c r="I2" s="2" t="n">
        <f aca="false">C2/248.3</f>
        <v>-0.99798630688683</v>
      </c>
      <c r="J2" s="2" t="n">
        <f aca="false">D2/315</f>
        <v>0.849206349206349</v>
      </c>
      <c r="K2" s="0" t="n">
        <f aca="false">F2/366</f>
        <v>0.229508196721311</v>
      </c>
      <c r="L2" s="2"/>
      <c r="M2" s="2" t="n">
        <v>1</v>
      </c>
      <c r="N2" s="5" t="n">
        <f aca="false">(Q2/PI())*-180</f>
        <v>-12.9726397934</v>
      </c>
      <c r="O2" s="5"/>
      <c r="P2" s="2" t="n">
        <f aca="false">SQRT(C2^2+D2^2)</f>
        <v>364.638300237372</v>
      </c>
      <c r="Q2" s="2" t="n">
        <f aca="false">ATAN(F2/P2)</f>
        <v>0.226415277070067</v>
      </c>
    </row>
    <row r="3" customFormat="false" ht="15.75" hidden="false" customHeight="true" outlineLevel="0" collapsed="false">
      <c r="B3" s="1" t="s">
        <v>12</v>
      </c>
      <c r="C3" s="4" t="n">
        <v>-247.8</v>
      </c>
      <c r="D3" s="1" t="n">
        <v>234.9</v>
      </c>
      <c r="E3" s="1" t="n">
        <v>15</v>
      </c>
      <c r="F3" s="0" t="n">
        <f aca="false">E3+69</f>
        <v>84</v>
      </c>
      <c r="G3" s="2"/>
      <c r="H3" s="2" t="n">
        <v>2</v>
      </c>
      <c r="I3" s="2" t="n">
        <f aca="false">C3/248.3</f>
        <v>-0.99798630688683</v>
      </c>
      <c r="J3" s="2" t="n">
        <f aca="false">D3/315</f>
        <v>0.745714285714286</v>
      </c>
      <c r="K3" s="0" t="n">
        <f aca="false">F3/366</f>
        <v>0.229508196721311</v>
      </c>
      <c r="L3" s="2"/>
      <c r="M3" s="5" t="n">
        <v>90</v>
      </c>
      <c r="N3" s="5" t="n">
        <f aca="false">(Q3/PI())*-180</f>
        <v>-13.821161072019</v>
      </c>
      <c r="O3" s="5"/>
      <c r="P3" s="2" t="n">
        <f aca="false">SQRT(C3^2+D3^2)</f>
        <v>341.442308450491</v>
      </c>
      <c r="Q3" s="2" t="n">
        <f aca="false">ATAN(F3/P3)</f>
        <v>0.241224767155201</v>
      </c>
    </row>
    <row r="4" customFormat="false" ht="15.75" hidden="false" customHeight="true" outlineLevel="0" collapsed="false">
      <c r="B4" s="1" t="s">
        <v>13</v>
      </c>
      <c r="C4" s="4" t="n">
        <v>-247.8</v>
      </c>
      <c r="D4" s="1" t="n">
        <v>204.3</v>
      </c>
      <c r="E4" s="1" t="n">
        <v>15</v>
      </c>
      <c r="F4" s="0" t="n">
        <f aca="false">E4+69</f>
        <v>84</v>
      </c>
      <c r="G4" s="2"/>
      <c r="H4" s="2" t="n">
        <v>3</v>
      </c>
      <c r="I4" s="2" t="n">
        <f aca="false">C4/248.3</f>
        <v>-0.99798630688683</v>
      </c>
      <c r="J4" s="2" t="n">
        <f aca="false">D4/315</f>
        <v>0.648571428571429</v>
      </c>
      <c r="K4" s="0" t="n">
        <f aca="false">F4/366</f>
        <v>0.229508196721311</v>
      </c>
      <c r="L4" s="2"/>
      <c r="M4" s="5" t="n">
        <v>90</v>
      </c>
      <c r="N4" s="5" t="n">
        <f aca="false">(Q4/PI())*-180</f>
        <v>-14.6574986733242</v>
      </c>
      <c r="O4" s="5"/>
      <c r="P4" s="2" t="n">
        <f aca="false">SQRT(C4^2+D4^2)</f>
        <v>321.15935296983</v>
      </c>
      <c r="Q4" s="2" t="n">
        <f aca="false">ATAN(F4/P4)</f>
        <v>0.255821611956208</v>
      </c>
    </row>
    <row r="5" customFormat="false" ht="15.75" hidden="false" customHeight="true" outlineLevel="0" collapsed="false">
      <c r="B5" s="1" t="s">
        <v>14</v>
      </c>
      <c r="C5" s="4" t="n">
        <v>-247.8</v>
      </c>
      <c r="D5" s="1" t="n">
        <v>172.6</v>
      </c>
      <c r="E5" s="1" t="n">
        <v>15</v>
      </c>
      <c r="F5" s="0" t="n">
        <f aca="false">E5+69</f>
        <v>84</v>
      </c>
      <c r="G5" s="2"/>
      <c r="H5" s="2" t="n">
        <v>4</v>
      </c>
      <c r="I5" s="2" t="n">
        <f aca="false">C5/248.3</f>
        <v>-0.99798630688683</v>
      </c>
      <c r="J5" s="2" t="n">
        <f aca="false">D5/315</f>
        <v>0.547936507936508</v>
      </c>
      <c r="K5" s="0" t="n">
        <f aca="false">F5/366</f>
        <v>0.229508196721311</v>
      </c>
      <c r="L5" s="2"/>
      <c r="M5" s="5" t="n">
        <v>90</v>
      </c>
      <c r="N5" s="5" t="n">
        <f aca="false">(Q5/PI())*-180</f>
        <v>-15.5443604603174</v>
      </c>
      <c r="O5" s="5"/>
      <c r="P5" s="2" t="n">
        <f aca="false">SQRT(C5^2+D5^2)</f>
        <v>301.986092394998</v>
      </c>
      <c r="Q5" s="2" t="n">
        <f aca="false">ATAN(F5/P5)</f>
        <v>0.27130027014936</v>
      </c>
    </row>
    <row r="6" customFormat="false" ht="15.75" hidden="false" customHeight="true" outlineLevel="0" collapsed="false">
      <c r="B6" s="1" t="s">
        <v>15</v>
      </c>
      <c r="C6" s="4" t="n">
        <v>-247.8</v>
      </c>
      <c r="D6" s="1" t="n">
        <v>141</v>
      </c>
      <c r="E6" s="1" t="n">
        <v>15</v>
      </c>
      <c r="F6" s="0" t="n">
        <f aca="false">E6+69</f>
        <v>84</v>
      </c>
      <c r="G6" s="2"/>
      <c r="H6" s="2" t="n">
        <v>5</v>
      </c>
      <c r="I6" s="2" t="n">
        <f aca="false">C6/248.3</f>
        <v>-0.99798630688683</v>
      </c>
      <c r="J6" s="2" t="n">
        <f aca="false">D6/315</f>
        <v>0.447619047619048</v>
      </c>
      <c r="K6" s="0" t="n">
        <f aca="false">F6/366</f>
        <v>0.229508196721311</v>
      </c>
      <c r="L6" s="2"/>
      <c r="M6" s="5" t="n">
        <v>90</v>
      </c>
      <c r="N6" s="5" t="n">
        <f aca="false">(Q6/PI())*-180</f>
        <v>-16.4163715823259</v>
      </c>
      <c r="O6" s="5"/>
      <c r="P6" s="2" t="n">
        <f aca="false">SQRT(C6^2+D6^2)</f>
        <v>285.106716862301</v>
      </c>
      <c r="Q6" s="2" t="n">
        <f aca="false">ATAN(F6/P6)</f>
        <v>0.286519735342419</v>
      </c>
    </row>
    <row r="7" customFormat="false" ht="15.75" hidden="false" customHeight="true" outlineLevel="0" collapsed="false">
      <c r="B7" s="1" t="s">
        <v>16</v>
      </c>
      <c r="C7" s="4" t="n">
        <v>-247.8</v>
      </c>
      <c r="D7" s="1" t="n">
        <v>109.4</v>
      </c>
      <c r="E7" s="1" t="n">
        <v>15</v>
      </c>
      <c r="F7" s="0" t="n">
        <f aca="false">E7+69</f>
        <v>84</v>
      </c>
      <c r="G7" s="2"/>
      <c r="H7" s="2" t="n">
        <v>6</v>
      </c>
      <c r="I7" s="2" t="n">
        <f aca="false">C7/248.3</f>
        <v>-0.99798630688683</v>
      </c>
      <c r="J7" s="2" t="n">
        <f aca="false">D7/315</f>
        <v>0.347301587301587</v>
      </c>
      <c r="K7" s="0" t="n">
        <f aca="false">F7/366</f>
        <v>0.229508196721311</v>
      </c>
      <c r="L7" s="2"/>
      <c r="M7" s="5" t="n">
        <v>90</v>
      </c>
      <c r="N7" s="5" t="n">
        <f aca="false">(Q7/PI())*-180</f>
        <v>-17.2289913361914</v>
      </c>
      <c r="O7" s="5"/>
      <c r="P7" s="2" t="n">
        <f aca="false">SQRT(C7^2+D7^2)</f>
        <v>270.874878864763</v>
      </c>
      <c r="Q7" s="2" t="n">
        <f aca="false">ATAN(F7/P7)</f>
        <v>0.300702625614118</v>
      </c>
    </row>
    <row r="8" customFormat="false" ht="15.75" hidden="false" customHeight="true" outlineLevel="0" collapsed="false">
      <c r="B8" s="1" t="s">
        <v>17</v>
      </c>
      <c r="C8" s="4" t="n">
        <v>-247.8</v>
      </c>
      <c r="D8" s="1" t="n">
        <v>77.8</v>
      </c>
      <c r="E8" s="1" t="n">
        <v>15</v>
      </c>
      <c r="F8" s="0" t="n">
        <f aca="false">E8+69</f>
        <v>84</v>
      </c>
      <c r="G8" s="2"/>
      <c r="H8" s="2" t="n">
        <v>7</v>
      </c>
      <c r="I8" s="2" t="n">
        <f aca="false">C8/248.3</f>
        <v>-0.99798630688683</v>
      </c>
      <c r="J8" s="2" t="n">
        <f aca="false">D8/315</f>
        <v>0.246984126984127</v>
      </c>
      <c r="K8" s="0" t="n">
        <f aca="false">F8/366</f>
        <v>0.229508196721311</v>
      </c>
      <c r="L8" s="2"/>
      <c r="M8" s="5" t="n">
        <v>90</v>
      </c>
      <c r="N8" s="5" t="n">
        <f aca="false">(Q8/PI())*-180</f>
        <v>-17.9221177652624</v>
      </c>
      <c r="O8" s="5"/>
      <c r="P8" s="2" t="n">
        <f aca="false">SQRT(C8^2+D8^2)</f>
        <v>259.726163487624</v>
      </c>
      <c r="Q8" s="2" t="n">
        <f aca="false">ATAN(F8/P8)</f>
        <v>0.312799963933997</v>
      </c>
    </row>
    <row r="9" customFormat="false" ht="15.75" hidden="false" customHeight="true" outlineLevel="0" collapsed="false">
      <c r="B9" s="1" t="s">
        <v>18</v>
      </c>
      <c r="C9" s="4" t="n">
        <v>-247.8</v>
      </c>
      <c r="D9" s="1" t="n">
        <v>45.2</v>
      </c>
      <c r="E9" s="1" t="n">
        <v>15</v>
      </c>
      <c r="F9" s="0" t="n">
        <f aca="false">E9+69</f>
        <v>84</v>
      </c>
      <c r="G9" s="2"/>
      <c r="H9" s="2" t="n">
        <v>8</v>
      </c>
      <c r="I9" s="2" t="n">
        <f aca="false">C9/248.3</f>
        <v>-0.99798630688683</v>
      </c>
      <c r="J9" s="2" t="n">
        <f aca="false">D9/315</f>
        <v>0.143492063492064</v>
      </c>
      <c r="K9" s="0" t="n">
        <f aca="false">F9/366</f>
        <v>0.229508196721311</v>
      </c>
      <c r="L9" s="2"/>
      <c r="M9" s="5" t="n">
        <v>90</v>
      </c>
      <c r="N9" s="5" t="n">
        <f aca="false">(Q9/PI())*-180</f>
        <v>-18.4425485716183</v>
      </c>
      <c r="O9" s="5"/>
      <c r="P9" s="2" t="n">
        <f aca="false">SQRT(C9^2+D9^2)</f>
        <v>251.888626182287</v>
      </c>
      <c r="Q9" s="2" t="n">
        <f aca="false">ATAN(F9/P9)</f>
        <v>0.321883195033716</v>
      </c>
    </row>
    <row r="10" customFormat="false" ht="15.75" hidden="false" customHeight="true" outlineLevel="0" collapsed="false">
      <c r="B10" s="1" t="s">
        <v>19</v>
      </c>
      <c r="C10" s="4" t="n">
        <v>-247.8</v>
      </c>
      <c r="D10" s="1" t="n">
        <v>14.5</v>
      </c>
      <c r="E10" s="1" t="n">
        <v>15</v>
      </c>
      <c r="F10" s="0" t="n">
        <f aca="false">E10+69</f>
        <v>84</v>
      </c>
      <c r="G10" s="2"/>
      <c r="H10" s="2" t="n">
        <v>9</v>
      </c>
      <c r="I10" s="2" t="n">
        <f aca="false">C10/248.3</f>
        <v>-0.99798630688683</v>
      </c>
      <c r="J10" s="2" t="n">
        <f aca="false">D10/315</f>
        <v>0.046031746031746</v>
      </c>
      <c r="K10" s="0" t="n">
        <f aca="false">F10/366</f>
        <v>0.229508196721311</v>
      </c>
      <c r="L10" s="2"/>
      <c r="M10" s="5" t="n">
        <v>90</v>
      </c>
      <c r="N10" s="5" t="n">
        <f aca="false">(Q10/PI())*-180</f>
        <v>-18.6960350836183</v>
      </c>
      <c r="O10" s="5"/>
      <c r="P10" s="2" t="n">
        <f aca="false">SQRT(C10^2+D10^2)</f>
        <v>248.22387072963</v>
      </c>
      <c r="Q10" s="2" t="n">
        <f aca="false">ATAN(F10/P10)</f>
        <v>0.326307369277513</v>
      </c>
    </row>
    <row r="11" customFormat="false" ht="15.75" hidden="false" customHeight="true" outlineLevel="0" collapsed="false">
      <c r="B11" s="1" t="s">
        <v>20</v>
      </c>
      <c r="C11" s="4" t="n">
        <v>-247.8</v>
      </c>
      <c r="D11" s="1" t="n">
        <v>-17.1</v>
      </c>
      <c r="E11" s="1" t="n">
        <v>15</v>
      </c>
      <c r="F11" s="0" t="n">
        <f aca="false">E11+69</f>
        <v>84</v>
      </c>
      <c r="G11" s="2"/>
      <c r="H11" s="2" t="n">
        <v>10</v>
      </c>
      <c r="I11" s="2" t="n">
        <f aca="false">C11/248.3</f>
        <v>-0.99798630688683</v>
      </c>
      <c r="J11" s="2" t="n">
        <f aca="false">D11/315</f>
        <v>-0.0542857142857143</v>
      </c>
      <c r="K11" s="0" t="n">
        <f aca="false">F11/366</f>
        <v>0.229508196721311</v>
      </c>
      <c r="L11" s="2"/>
      <c r="M11" s="5" t="n">
        <v>90</v>
      </c>
      <c r="N11" s="5" t="n">
        <f aca="false">(Q11/PI())*-180</f>
        <v>-18.6844470293033</v>
      </c>
      <c r="O11" s="5"/>
      <c r="P11" s="2" t="n">
        <f aca="false">SQRT(C11^2+D11^2)</f>
        <v>248.389311364237</v>
      </c>
      <c r="Q11" s="2" t="n">
        <f aca="false">ATAN(F11/P11)</f>
        <v>0.326105119575817</v>
      </c>
    </row>
    <row r="12" customFormat="false" ht="15.75" hidden="false" customHeight="true" outlineLevel="0" collapsed="false">
      <c r="B12" s="1" t="s">
        <v>21</v>
      </c>
      <c r="C12" s="4" t="n">
        <v>-247.8</v>
      </c>
      <c r="D12" s="1" t="n">
        <v>-49.7</v>
      </c>
      <c r="E12" s="1" t="n">
        <v>15</v>
      </c>
      <c r="F12" s="0" t="n">
        <f aca="false">E12+69</f>
        <v>84</v>
      </c>
      <c r="G12" s="2"/>
      <c r="H12" s="2" t="n">
        <v>11</v>
      </c>
      <c r="I12" s="2" t="n">
        <f aca="false">C12/248.3</f>
        <v>-0.99798630688683</v>
      </c>
      <c r="J12" s="2" t="n">
        <f aca="false">D12/315</f>
        <v>-0.157777777777778</v>
      </c>
      <c r="K12" s="0" t="n">
        <f aca="false">F12/366</f>
        <v>0.229508196721311</v>
      </c>
      <c r="L12" s="2"/>
      <c r="M12" s="5" t="n">
        <v>90</v>
      </c>
      <c r="N12" s="5" t="n">
        <f aca="false">(Q12/PI())*-180</f>
        <v>-18.3849530272683</v>
      </c>
      <c r="O12" s="5"/>
      <c r="P12" s="2" t="n">
        <f aca="false">SQRT(C12^2+D12^2)</f>
        <v>252.734900637011</v>
      </c>
      <c r="Q12" s="2" t="n">
        <f aca="false">ATAN(F12/P12)</f>
        <v>0.320877963150331</v>
      </c>
    </row>
    <row r="13" customFormat="false" ht="15.75" hidden="false" customHeight="true" outlineLevel="0" collapsed="false">
      <c r="B13" s="1" t="s">
        <v>22</v>
      </c>
      <c r="C13" s="4" t="n">
        <v>-247.8</v>
      </c>
      <c r="D13" s="1" t="n">
        <v>-80.3</v>
      </c>
      <c r="E13" s="1" t="n">
        <v>15</v>
      </c>
      <c r="F13" s="0" t="n">
        <f aca="false">E13+69</f>
        <v>84</v>
      </c>
      <c r="G13" s="2"/>
      <c r="H13" s="2" t="n">
        <v>12</v>
      </c>
      <c r="I13" s="2" t="n">
        <f aca="false">C13/248.3</f>
        <v>-0.99798630688683</v>
      </c>
      <c r="J13" s="2" t="n">
        <f aca="false">D13/315</f>
        <v>-0.254920634920635</v>
      </c>
      <c r="K13" s="0" t="n">
        <f aca="false">F13/366</f>
        <v>0.229508196721311</v>
      </c>
      <c r="L13" s="2"/>
      <c r="M13" s="5" t="n">
        <v>90</v>
      </c>
      <c r="N13" s="5" t="n">
        <f aca="false">(Q13/PI())*-180</f>
        <v>-17.8731727366979</v>
      </c>
      <c r="O13" s="5"/>
      <c r="P13" s="2" t="n">
        <f aca="false">SQRT(C13^2+D13^2)</f>
        <v>260.485949717063</v>
      </c>
      <c r="Q13" s="2" t="n">
        <f aca="false">ATAN(F13/P13)</f>
        <v>0.311945712033065</v>
      </c>
    </row>
    <row r="14" customFormat="false" ht="15.75" hidden="false" customHeight="true" outlineLevel="0" collapsed="false">
      <c r="B14" s="1" t="s">
        <v>23</v>
      </c>
      <c r="C14" s="4" t="n">
        <v>-247.8</v>
      </c>
      <c r="D14" s="1" t="n">
        <v>-111.9</v>
      </c>
      <c r="E14" s="1" t="n">
        <v>15</v>
      </c>
      <c r="F14" s="0" t="n">
        <f aca="false">E14+69</f>
        <v>84</v>
      </c>
      <c r="G14" s="2"/>
      <c r="H14" s="2" t="n">
        <v>13</v>
      </c>
      <c r="I14" s="2" t="n">
        <f aca="false">C14/248.3</f>
        <v>-0.99798630688683</v>
      </c>
      <c r="J14" s="2" t="n">
        <f aca="false">D14/315</f>
        <v>-0.355238095238095</v>
      </c>
      <c r="K14" s="0" t="n">
        <f aca="false">F14/366</f>
        <v>0.229508196721311</v>
      </c>
      <c r="L14" s="2"/>
      <c r="M14" s="5" t="n">
        <v>90</v>
      </c>
      <c r="N14" s="5" t="n">
        <f aca="false">(Q14/PI())*-180</f>
        <v>-17.168204995082</v>
      </c>
      <c r="O14" s="5"/>
      <c r="P14" s="2" t="n">
        <f aca="false">SQRT(C14^2+D14^2)</f>
        <v>271.894188977992</v>
      </c>
      <c r="Q14" s="2" t="n">
        <f aca="false">ATAN(F14/P14)</f>
        <v>0.299641703821517</v>
      </c>
    </row>
    <row r="15" customFormat="false" ht="15.75" hidden="false" customHeight="true" outlineLevel="0" collapsed="false">
      <c r="B15" s="1" t="s">
        <v>24</v>
      </c>
      <c r="C15" s="4" t="n">
        <v>-247.8</v>
      </c>
      <c r="D15" s="1" t="n">
        <v>-144.6</v>
      </c>
      <c r="E15" s="1" t="n">
        <v>15</v>
      </c>
      <c r="F15" s="0" t="n">
        <f aca="false">E15+69</f>
        <v>84</v>
      </c>
      <c r="G15" s="2"/>
      <c r="H15" s="2" t="n">
        <v>14</v>
      </c>
      <c r="I15" s="2" t="n">
        <f aca="false">C15/248.3</f>
        <v>-0.99798630688683</v>
      </c>
      <c r="J15" s="2" t="n">
        <f aca="false">D15/315</f>
        <v>-0.459047619047619</v>
      </c>
      <c r="K15" s="0" t="n">
        <f aca="false">F15/366</f>
        <v>0.229508196721311</v>
      </c>
      <c r="L15" s="2"/>
      <c r="M15" s="5" t="n">
        <v>90</v>
      </c>
      <c r="N15" s="5" t="n">
        <f aca="false">(Q15/PI())*-180</f>
        <v>-16.3190118343287</v>
      </c>
      <c r="O15" s="5"/>
      <c r="P15" s="2" t="n">
        <f aca="false">SQRT(C15^2+D15^2)</f>
        <v>286.904165184126</v>
      </c>
      <c r="Q15" s="2" t="n">
        <f aca="false">ATAN(F15/P15)</f>
        <v>0.284820487180954</v>
      </c>
    </row>
    <row r="16" customFormat="false" ht="15.75" hidden="false" customHeight="true" outlineLevel="0" collapsed="false">
      <c r="B16" s="1" t="s">
        <v>25</v>
      </c>
      <c r="C16" s="4" t="n">
        <v>-247.8</v>
      </c>
      <c r="D16" s="1" t="n">
        <v>-175.2</v>
      </c>
      <c r="E16" s="1" t="n">
        <v>15</v>
      </c>
      <c r="F16" s="0" t="n">
        <f aca="false">E16+69</f>
        <v>84</v>
      </c>
      <c r="G16" s="2"/>
      <c r="H16" s="2" t="n">
        <v>15</v>
      </c>
      <c r="I16" s="2" t="n">
        <f aca="false">C16/248.3</f>
        <v>-0.99798630688683</v>
      </c>
      <c r="J16" s="2" t="n">
        <f aca="false">D16/315</f>
        <v>-0.556190476190476</v>
      </c>
      <c r="K16" s="0" t="n">
        <f aca="false">F16/366</f>
        <v>0.229508196721311</v>
      </c>
      <c r="L16" s="2"/>
      <c r="M16" s="5" t="n">
        <v>90</v>
      </c>
      <c r="N16" s="5" t="n">
        <f aca="false">(Q16/PI())*-180</f>
        <v>-15.4715344774884</v>
      </c>
      <c r="O16" s="5"/>
      <c r="P16" s="2" t="n">
        <f aca="false">SQRT(C16^2+D16^2)</f>
        <v>303.479620403084</v>
      </c>
      <c r="Q16" s="2" t="n">
        <f aca="false">ATAN(F16/P16)</f>
        <v>0.270029216967992</v>
      </c>
    </row>
    <row r="17" customFormat="false" ht="15.75" hidden="false" customHeight="true" outlineLevel="0" collapsed="false">
      <c r="B17" s="1" t="s">
        <v>26</v>
      </c>
      <c r="C17" s="4" t="n">
        <v>-247.8</v>
      </c>
      <c r="D17" s="1" t="n">
        <v>-206.8</v>
      </c>
      <c r="E17" s="1" t="n">
        <v>15</v>
      </c>
      <c r="F17" s="0" t="n">
        <f aca="false">E17+69</f>
        <v>84</v>
      </c>
      <c r="G17" s="2"/>
      <c r="H17" s="2" t="n">
        <v>16</v>
      </c>
      <c r="I17" s="2" t="n">
        <f aca="false">C17/248.3</f>
        <v>-0.99798630688683</v>
      </c>
      <c r="J17" s="2" t="n">
        <f aca="false">D17/315</f>
        <v>-0.656507936507937</v>
      </c>
      <c r="K17" s="0" t="n">
        <f aca="false">F17/366</f>
        <v>0.229508196721311</v>
      </c>
      <c r="L17" s="2"/>
      <c r="M17" s="5" t="n">
        <v>90</v>
      </c>
      <c r="N17" s="5" t="n">
        <f aca="false">(Q17/PI())*-180</f>
        <v>-14.5881135513072</v>
      </c>
      <c r="O17" s="5"/>
      <c r="P17" s="2" t="n">
        <f aca="false">SQRT(C17^2+D17^2)</f>
        <v>322.755449218135</v>
      </c>
      <c r="Q17" s="2" t="n">
        <f aca="false">ATAN(F17/P17)</f>
        <v>0.254610613125114</v>
      </c>
    </row>
    <row r="18" customFormat="false" ht="15.75" hidden="false" customHeight="true" outlineLevel="0" collapsed="false">
      <c r="B18" s="1" t="s">
        <v>27</v>
      </c>
      <c r="C18" s="4" t="n">
        <v>-247.8</v>
      </c>
      <c r="D18" s="1" t="n">
        <v>-239.4</v>
      </c>
      <c r="E18" s="1" t="n">
        <v>15</v>
      </c>
      <c r="F18" s="0" t="n">
        <f aca="false">E18+69</f>
        <v>84</v>
      </c>
      <c r="G18" s="2"/>
      <c r="H18" s="2" t="n">
        <v>17</v>
      </c>
      <c r="I18" s="2" t="n">
        <f aca="false">C18/248.3</f>
        <v>-0.99798630688683</v>
      </c>
      <c r="J18" s="2" t="n">
        <f aca="false">D18/315</f>
        <v>-0.76</v>
      </c>
      <c r="K18" s="0" t="n">
        <f aca="false">F18/366</f>
        <v>0.229508196721311</v>
      </c>
      <c r="L18" s="2"/>
      <c r="M18" s="5" t="n">
        <v>90</v>
      </c>
      <c r="N18" s="5" t="n">
        <f aca="false">(Q18/PI())*-180</f>
        <v>-13.7010799325696</v>
      </c>
      <c r="O18" s="5"/>
      <c r="P18" s="2" t="n">
        <f aca="false">SQRT(C18^2+D18^2)</f>
        <v>344.553624273494</v>
      </c>
      <c r="Q18" s="2" t="n">
        <f aca="false">ATAN(F18/P18)</f>
        <v>0.239128955902262</v>
      </c>
    </row>
    <row r="19" customFormat="false" ht="15.75" hidden="false" customHeight="true" outlineLevel="0" collapsed="false">
      <c r="B19" s="1" t="s">
        <v>28</v>
      </c>
      <c r="C19" s="4" t="n">
        <v>-247.8</v>
      </c>
      <c r="D19" s="1" t="n">
        <v>-270</v>
      </c>
      <c r="E19" s="1" t="n">
        <v>15</v>
      </c>
      <c r="F19" s="0" t="n">
        <f aca="false">E19+69</f>
        <v>84</v>
      </c>
      <c r="G19" s="2"/>
      <c r="H19" s="2" t="n">
        <v>18</v>
      </c>
      <c r="I19" s="2" t="n">
        <f aca="false">C19/248.3</f>
        <v>-0.99798630688683</v>
      </c>
      <c r="J19" s="2" t="n">
        <f aca="false">D19/315</f>
        <v>-0.857142857142857</v>
      </c>
      <c r="K19" s="0" t="n">
        <f aca="false">F19/366</f>
        <v>0.229508196721311</v>
      </c>
      <c r="L19" s="2"/>
      <c r="M19" s="5" t="n">
        <v>90</v>
      </c>
      <c r="N19" s="5" t="n">
        <f aca="false">(Q19/PI())*-180</f>
        <v>-12.9097645071885</v>
      </c>
      <c r="O19" s="5"/>
      <c r="P19" s="2" t="n">
        <f aca="false">SQRT(C19^2+D19^2)</f>
        <v>366.476247524993</v>
      </c>
      <c r="Q19" s="2" t="n">
        <f aca="false">ATAN(F19/P19)</f>
        <v>0.225317896307543</v>
      </c>
    </row>
    <row r="20" customFormat="false" ht="15.75" hidden="false" customHeight="true" outlineLevel="0" collapsed="false">
      <c r="B20" s="1" t="s">
        <v>29</v>
      </c>
      <c r="C20" s="4" t="n">
        <v>-204.8</v>
      </c>
      <c r="D20" s="6" t="n">
        <v>-296.9</v>
      </c>
      <c r="E20" s="1" t="n">
        <v>15</v>
      </c>
      <c r="F20" s="0" t="n">
        <f aca="false">E20+69</f>
        <v>84</v>
      </c>
      <c r="G20" s="2"/>
      <c r="H20" s="2" t="n">
        <v>19</v>
      </c>
      <c r="I20" s="2" t="n">
        <f aca="false">C20/248.3</f>
        <v>-0.824808699154249</v>
      </c>
      <c r="J20" s="2" t="n">
        <f aca="false">D20/315</f>
        <v>-0.942539682539683</v>
      </c>
      <c r="K20" s="0" t="n">
        <f aca="false">F20/366</f>
        <v>0.229508196721311</v>
      </c>
      <c r="L20" s="2"/>
      <c r="M20" s="5" t="n">
        <v>0</v>
      </c>
      <c r="N20" s="5" t="n">
        <f aca="false">(Q20/PI())*-180</f>
        <v>-13.1099905415332</v>
      </c>
      <c r="O20" s="5"/>
      <c r="P20" s="2" t="n">
        <f aca="false">SQRT(C20^2+D20^2)</f>
        <v>360.683587095393</v>
      </c>
      <c r="Q20" s="2" t="n">
        <f aca="false">ATAN(F20/P20)</f>
        <v>0.228812499855068</v>
      </c>
    </row>
    <row r="21" customFormat="false" ht="15.75" hidden="false" customHeight="true" outlineLevel="0" collapsed="false">
      <c r="B21" s="1" t="s">
        <v>30</v>
      </c>
      <c r="C21" s="1" t="n">
        <v>-173.2</v>
      </c>
      <c r="D21" s="6" t="n">
        <v>-296.9</v>
      </c>
      <c r="E21" s="1" t="n">
        <v>15</v>
      </c>
      <c r="F21" s="0" t="n">
        <f aca="false">E21+69</f>
        <v>84</v>
      </c>
      <c r="G21" s="2"/>
      <c r="H21" s="2" t="n">
        <v>20</v>
      </c>
      <c r="I21" s="2" t="n">
        <f aca="false">C21/248.3</f>
        <v>-0.697543294401933</v>
      </c>
      <c r="J21" s="2" t="n">
        <f aca="false">D21/315</f>
        <v>-0.942539682539683</v>
      </c>
      <c r="K21" s="0" t="n">
        <f aca="false">F21/366</f>
        <v>0.229508196721311</v>
      </c>
      <c r="L21" s="2"/>
      <c r="M21" s="5" t="n">
        <v>0</v>
      </c>
      <c r="N21" s="5" t="n">
        <f aca="false">(Q21/PI())*-180</f>
        <v>-13.73280577714</v>
      </c>
      <c r="O21" s="5"/>
      <c r="P21" s="2" t="n">
        <f aca="false">SQRT(C21^2+D21^2)</f>
        <v>343.726417372887</v>
      </c>
      <c r="Q21" s="2" t="n">
        <f aca="false">ATAN(F21/P21)</f>
        <v>0.239682676347991</v>
      </c>
    </row>
    <row r="22" customFormat="false" ht="15.75" hidden="false" customHeight="true" outlineLevel="0" collapsed="false">
      <c r="B22" s="1" t="s">
        <v>31</v>
      </c>
      <c r="C22" s="1" t="n">
        <v>-141.6</v>
      </c>
      <c r="D22" s="6" t="n">
        <v>-296.9</v>
      </c>
      <c r="E22" s="1" t="n">
        <v>15</v>
      </c>
      <c r="F22" s="0" t="n">
        <f aca="false">E22+69</f>
        <v>84</v>
      </c>
      <c r="G22" s="2"/>
      <c r="H22" s="2" t="n">
        <v>21</v>
      </c>
      <c r="I22" s="2" t="n">
        <f aca="false">C22/248.3</f>
        <v>-0.570277889649617</v>
      </c>
      <c r="J22" s="2" t="n">
        <f aca="false">D22/315</f>
        <v>-0.942539682539683</v>
      </c>
      <c r="K22" s="0" t="n">
        <f aca="false">F22/366</f>
        <v>0.229508196721311</v>
      </c>
      <c r="L22" s="2"/>
      <c r="M22" s="5" t="n">
        <v>0</v>
      </c>
      <c r="N22" s="5" t="n">
        <f aca="false">(Q22/PI())*-180</f>
        <v>-14.3253109057638</v>
      </c>
      <c r="O22" s="5"/>
      <c r="P22" s="2" t="n">
        <f aca="false">SQRT(C22^2+D22^2)</f>
        <v>328.937942475477</v>
      </c>
      <c r="Q22" s="2" t="n">
        <f aca="false">ATAN(F22/P22)</f>
        <v>0.25002384167743</v>
      </c>
    </row>
    <row r="23" customFormat="false" ht="15.75" hidden="false" customHeight="true" outlineLevel="0" collapsed="false">
      <c r="B23" s="1" t="s">
        <v>32</v>
      </c>
      <c r="C23" s="1" t="n">
        <v>-109.9</v>
      </c>
      <c r="D23" s="6" t="n">
        <v>-296.9</v>
      </c>
      <c r="E23" s="1" t="n">
        <v>15</v>
      </c>
      <c r="F23" s="0" t="n">
        <f aca="false">E23+69</f>
        <v>84</v>
      </c>
      <c r="G23" s="2"/>
      <c r="H23" s="2" t="n">
        <v>22</v>
      </c>
      <c r="I23" s="2" t="n">
        <f aca="false">C23/248.3</f>
        <v>-0.442609746274668</v>
      </c>
      <c r="J23" s="2" t="n">
        <f aca="false">D23/315</f>
        <v>-0.942539682539683</v>
      </c>
      <c r="K23" s="0" t="n">
        <f aca="false">F23/366</f>
        <v>0.229508196721311</v>
      </c>
      <c r="L23" s="2"/>
      <c r="M23" s="5" t="n">
        <v>0</v>
      </c>
      <c r="N23" s="5" t="n">
        <f aca="false">(Q23/PI())*-180</f>
        <v>-14.8598670574779</v>
      </c>
      <c r="O23" s="5"/>
      <c r="P23" s="2" t="n">
        <f aca="false">SQRT(C23^2+D23^2)</f>
        <v>316.58746026967</v>
      </c>
      <c r="Q23" s="2" t="n">
        <f aca="false">ATAN(F23/P23)</f>
        <v>0.25935360656163</v>
      </c>
    </row>
    <row r="24" customFormat="false" ht="15.75" hidden="false" customHeight="true" outlineLevel="0" collapsed="false">
      <c r="B24" s="1" t="s">
        <v>33</v>
      </c>
      <c r="C24" s="1" t="n">
        <v>-78.3</v>
      </c>
      <c r="D24" s="6" t="n">
        <v>-296.9</v>
      </c>
      <c r="E24" s="1" t="n">
        <v>15</v>
      </c>
      <c r="F24" s="0" t="n">
        <f aca="false">E24+69</f>
        <v>84</v>
      </c>
      <c r="G24" s="2"/>
      <c r="H24" s="2" t="n">
        <v>23</v>
      </c>
      <c r="I24" s="2" t="n">
        <f aca="false">C24/248.3</f>
        <v>-0.315344341522352</v>
      </c>
      <c r="J24" s="2" t="n">
        <f aca="false">D24/315</f>
        <v>-0.942539682539683</v>
      </c>
      <c r="K24" s="0" t="n">
        <f aca="false">F24/366</f>
        <v>0.229508196721311</v>
      </c>
      <c r="L24" s="2"/>
      <c r="M24" s="5" t="n">
        <v>0</v>
      </c>
      <c r="N24" s="5" t="n">
        <f aca="false">(Q24/PI())*-180</f>
        <v>-15.3000468830348</v>
      </c>
      <c r="O24" s="5"/>
      <c r="P24" s="2" t="n">
        <f aca="false">SQRT(C24^2+D24^2)</f>
        <v>307.051298645682</v>
      </c>
      <c r="Q24" s="2" t="n">
        <f aca="false">ATAN(F24/P24)</f>
        <v>0.267036193818453</v>
      </c>
    </row>
    <row r="25" customFormat="false" ht="15.75" hidden="false" customHeight="true" outlineLevel="0" collapsed="false">
      <c r="B25" s="1" t="s">
        <v>34</v>
      </c>
      <c r="C25" s="1" t="n">
        <v>-45.7</v>
      </c>
      <c r="D25" s="6" t="n">
        <v>-296.9</v>
      </c>
      <c r="E25" s="1" t="n">
        <v>15</v>
      </c>
      <c r="F25" s="0" t="n">
        <f aca="false">E25+69</f>
        <v>84</v>
      </c>
      <c r="G25" s="2"/>
      <c r="H25" s="2" t="n">
        <v>24</v>
      </c>
      <c r="I25" s="2" t="n">
        <f aca="false">C25/248.3</f>
        <v>-0.184051550543697</v>
      </c>
      <c r="J25" s="2" t="n">
        <f aca="false">D25/315</f>
        <v>-0.942539682539683</v>
      </c>
      <c r="K25" s="0" t="n">
        <f aca="false">F25/366</f>
        <v>0.229508196721311</v>
      </c>
      <c r="L25" s="2"/>
      <c r="M25" s="5" t="n">
        <v>0</v>
      </c>
      <c r="N25" s="5" t="n">
        <f aca="false">(Q25/PI())*-180</f>
        <v>-15.6226052276219</v>
      </c>
      <c r="O25" s="5"/>
      <c r="P25" s="2" t="n">
        <f aca="false">SQRT(C25^2+D25^2)</f>
        <v>300.396571218781</v>
      </c>
      <c r="Q25" s="2" t="n">
        <f aca="false">ATAN(F25/P25)</f>
        <v>0.27266589896128</v>
      </c>
    </row>
    <row r="26" customFormat="false" ht="15.75" hidden="false" customHeight="true" outlineLevel="0" collapsed="false">
      <c r="B26" s="1" t="s">
        <v>35</v>
      </c>
      <c r="C26" s="1" t="n">
        <v>-15.1</v>
      </c>
      <c r="D26" s="6" t="n">
        <v>-296.9</v>
      </c>
      <c r="E26" s="1" t="n">
        <v>15</v>
      </c>
      <c r="F26" s="0" t="n">
        <f aca="false">E26+69</f>
        <v>84</v>
      </c>
      <c r="G26" s="2"/>
      <c r="H26" s="2" t="n">
        <v>25</v>
      </c>
      <c r="I26" s="2" t="n">
        <f aca="false">C26/248.3</f>
        <v>-0.0608135320177205</v>
      </c>
      <c r="J26" s="2" t="n">
        <f aca="false">D26/315</f>
        <v>-0.942539682539683</v>
      </c>
      <c r="K26" s="0" t="n">
        <f aca="false">F26/366</f>
        <v>0.229508196721311</v>
      </c>
      <c r="L26" s="2"/>
      <c r="M26" s="5" t="n">
        <v>0</v>
      </c>
      <c r="N26" s="5" t="n">
        <f aca="false">(Q26/PI())*-180</f>
        <v>-15.7780816571907</v>
      </c>
      <c r="O26" s="5"/>
      <c r="P26" s="2" t="n">
        <f aca="false">SQRT(C26^2+D26^2)</f>
        <v>297.283736521189</v>
      </c>
      <c r="Q26" s="2" t="n">
        <f aca="false">ATAN(F26/P26)</f>
        <v>0.2753794745665</v>
      </c>
    </row>
    <row r="27" customFormat="false" ht="15.75" hidden="false" customHeight="true" outlineLevel="0" collapsed="false">
      <c r="B27" s="1" t="s">
        <v>36</v>
      </c>
      <c r="C27" s="1" t="n">
        <v>16.5</v>
      </c>
      <c r="D27" s="6" t="n">
        <v>-296.9</v>
      </c>
      <c r="E27" s="1" t="n">
        <v>15</v>
      </c>
      <c r="F27" s="0" t="n">
        <f aca="false">E27+69</f>
        <v>84</v>
      </c>
      <c r="G27" s="2"/>
      <c r="H27" s="2" t="n">
        <v>26</v>
      </c>
      <c r="I27" s="2" t="n">
        <f aca="false">C27/248.3</f>
        <v>0.0664518727345952</v>
      </c>
      <c r="J27" s="2" t="n">
        <f aca="false">D27/315</f>
        <v>-0.942539682539683</v>
      </c>
      <c r="K27" s="0" t="n">
        <f aca="false">F27/366</f>
        <v>0.229508196721311</v>
      </c>
      <c r="L27" s="2"/>
      <c r="M27" s="5" t="n">
        <v>0</v>
      </c>
      <c r="N27" s="5" t="n">
        <f aca="false">(Q27/PI())*-180</f>
        <v>-15.7743305496609</v>
      </c>
      <c r="O27" s="5"/>
      <c r="P27" s="2" t="n">
        <f aca="false">SQRT(C27^2+D27^2)</f>
        <v>297.358134242196</v>
      </c>
      <c r="Q27" s="2" t="n">
        <f aca="false">ATAN(F27/P27)</f>
        <v>0.27531400538951</v>
      </c>
    </row>
    <row r="28" customFormat="false" ht="15.75" hidden="false" customHeight="true" outlineLevel="0" collapsed="false">
      <c r="B28" s="1" t="s">
        <v>37</v>
      </c>
      <c r="C28" s="1" t="n">
        <v>47.2</v>
      </c>
      <c r="D28" s="6" t="n">
        <v>-296.9</v>
      </c>
      <c r="E28" s="1" t="n">
        <v>15</v>
      </c>
      <c r="F28" s="0" t="n">
        <f aca="false">E28+69</f>
        <v>84</v>
      </c>
      <c r="G28" s="2"/>
      <c r="H28" s="2" t="n">
        <v>27</v>
      </c>
      <c r="I28" s="2" t="n">
        <f aca="false">C28/248.3</f>
        <v>0.190092629883206</v>
      </c>
      <c r="J28" s="2" t="n">
        <f aca="false">D28/315</f>
        <v>-0.942539682539683</v>
      </c>
      <c r="K28" s="0" t="n">
        <f aca="false">F28/366</f>
        <v>0.229508196721311</v>
      </c>
      <c r="L28" s="2"/>
      <c r="M28" s="5" t="n">
        <v>0</v>
      </c>
      <c r="N28" s="5" t="n">
        <f aca="false">(Q28/PI())*-180</f>
        <v>-15.6111443185471</v>
      </c>
      <c r="O28" s="5"/>
      <c r="P28" s="2" t="n">
        <f aca="false">SQRT(C28^2+D28^2)</f>
        <v>300.628425136413</v>
      </c>
      <c r="Q28" s="2" t="n">
        <f aca="false">ATAN(F28/P28)</f>
        <v>0.272465868362654</v>
      </c>
    </row>
    <row r="29" customFormat="false" ht="15.75" hidden="false" customHeight="true" outlineLevel="0" collapsed="false">
      <c r="B29" s="1" t="s">
        <v>38</v>
      </c>
      <c r="C29" s="1" t="n">
        <v>79.8</v>
      </c>
      <c r="D29" s="6" t="n">
        <v>-296.9</v>
      </c>
      <c r="E29" s="1" t="n">
        <v>15</v>
      </c>
      <c r="F29" s="0" t="n">
        <f aca="false">E29+69</f>
        <v>84</v>
      </c>
      <c r="G29" s="2"/>
      <c r="H29" s="2" t="n">
        <v>28</v>
      </c>
      <c r="I29" s="2" t="n">
        <f aca="false">C29/248.3</f>
        <v>0.321385420861861</v>
      </c>
      <c r="J29" s="2" t="n">
        <f aca="false">D29/315</f>
        <v>-0.942539682539683</v>
      </c>
      <c r="K29" s="0" t="n">
        <f aca="false">F29/366</f>
        <v>0.229508196721311</v>
      </c>
      <c r="L29" s="2"/>
      <c r="M29" s="5" t="n">
        <v>0</v>
      </c>
      <c r="N29" s="5" t="n">
        <f aca="false">(Q29/PI())*-180</f>
        <v>-15.2817390140512</v>
      </c>
      <c r="O29" s="5"/>
      <c r="P29" s="2" t="n">
        <f aca="false">SQRT(C29^2+D29^2)</f>
        <v>307.437229365606</v>
      </c>
      <c r="Q29" s="2" t="n">
        <f aca="false">ATAN(F29/P29)</f>
        <v>0.266716661225665</v>
      </c>
    </row>
    <row r="30" customFormat="false" ht="15.75" hidden="false" customHeight="true" outlineLevel="0" collapsed="false">
      <c r="B30" s="1" t="s">
        <v>39</v>
      </c>
      <c r="C30" s="1" t="n">
        <v>111.4</v>
      </c>
      <c r="D30" s="6" t="n">
        <v>-296.9</v>
      </c>
      <c r="E30" s="1" t="n">
        <v>15</v>
      </c>
      <c r="F30" s="0" t="n">
        <f aca="false">E30+69</f>
        <v>84</v>
      </c>
      <c r="G30" s="2"/>
      <c r="H30" s="2" t="n">
        <v>29</v>
      </c>
      <c r="I30" s="2" t="n">
        <f aca="false">C30/248.3</f>
        <v>0.448650825614176</v>
      </c>
      <c r="J30" s="2" t="n">
        <f aca="false">D30/315</f>
        <v>-0.942539682539683</v>
      </c>
      <c r="K30" s="0" t="n">
        <f aca="false">F30/366</f>
        <v>0.229508196721311</v>
      </c>
      <c r="L30" s="2"/>
      <c r="M30" s="5" t="n">
        <v>0</v>
      </c>
      <c r="N30" s="5" t="n">
        <f aca="false">(Q30/PI())*-180</f>
        <v>-14.8364038441926</v>
      </c>
      <c r="O30" s="5"/>
      <c r="P30" s="2" t="n">
        <f aca="false">SQRT(C30^2+D30^2)</f>
        <v>317.111289612969</v>
      </c>
      <c r="Q30" s="2" t="n">
        <f aca="false">ATAN(F30/P30)</f>
        <v>0.258944096236704</v>
      </c>
    </row>
    <row r="31" customFormat="false" ht="15.75" hidden="false" customHeight="true" outlineLevel="0" collapsed="false">
      <c r="B31" s="1" t="s">
        <v>40</v>
      </c>
      <c r="C31" s="1" t="n">
        <v>144</v>
      </c>
      <c r="D31" s="6" t="n">
        <v>-296.9</v>
      </c>
      <c r="E31" s="1" t="n">
        <v>15</v>
      </c>
      <c r="F31" s="0" t="n">
        <f aca="false">E31+69</f>
        <v>84</v>
      </c>
      <c r="G31" s="2"/>
      <c r="H31" s="2" t="n">
        <v>30</v>
      </c>
      <c r="I31" s="2" t="n">
        <f aca="false">C31/248.3</f>
        <v>0.579943616592831</v>
      </c>
      <c r="J31" s="2" t="n">
        <f aca="false">D31/315</f>
        <v>-0.942539682539683</v>
      </c>
      <c r="K31" s="0" t="n">
        <f aca="false">F31/366</f>
        <v>0.229508196721311</v>
      </c>
      <c r="L31" s="2"/>
      <c r="M31" s="5" t="n">
        <v>0</v>
      </c>
      <c r="N31" s="5" t="n">
        <f aca="false">(Q31/PI())*-180</f>
        <v>-14.2820007740414</v>
      </c>
      <c r="O31" s="5"/>
      <c r="P31" s="2" t="n">
        <f aca="false">SQRT(C31^2+D31^2)</f>
        <v>329.978196249389</v>
      </c>
      <c r="Q31" s="2" t="n">
        <f aca="false">ATAN(F31/P31)</f>
        <v>0.249267937279401</v>
      </c>
    </row>
    <row r="32" customFormat="false" ht="15.75" hidden="false" customHeight="true" outlineLevel="0" collapsed="false">
      <c r="B32" s="1" t="s">
        <v>41</v>
      </c>
      <c r="C32" s="1" t="n">
        <v>174.6</v>
      </c>
      <c r="D32" s="6" t="n">
        <v>-296.9</v>
      </c>
      <c r="E32" s="1" t="n">
        <v>15</v>
      </c>
      <c r="F32" s="0" t="n">
        <f aca="false">E32+69</f>
        <v>84</v>
      </c>
      <c r="G32" s="2"/>
      <c r="H32" s="2" t="n">
        <v>31</v>
      </c>
      <c r="I32" s="2" t="n">
        <f aca="false">C32/248.3</f>
        <v>0.703181635118808</v>
      </c>
      <c r="J32" s="2" t="n">
        <f aca="false">D32/315</f>
        <v>-0.942539682539683</v>
      </c>
      <c r="K32" s="0" t="n">
        <f aca="false">F32/366</f>
        <v>0.229508196721311</v>
      </c>
      <c r="L32" s="2"/>
      <c r="M32" s="5" t="n">
        <v>0</v>
      </c>
      <c r="N32" s="5" t="n">
        <f aca="false">(Q32/PI())*-180</f>
        <v>-13.7056595590557</v>
      </c>
      <c r="O32" s="5"/>
      <c r="P32" s="2" t="n">
        <f aca="false">SQRT(C32^2+D32^2)</f>
        <v>344.433984966641</v>
      </c>
      <c r="Q32" s="2" t="n">
        <f aca="false">ATAN(F32/P32)</f>
        <v>0.239208885462956</v>
      </c>
    </row>
    <row r="33" customFormat="false" ht="15.75" hidden="false" customHeight="true" outlineLevel="0" collapsed="false">
      <c r="B33" s="1" t="s">
        <v>42</v>
      </c>
      <c r="C33" s="1" t="n">
        <v>206.3</v>
      </c>
      <c r="D33" s="6" t="n">
        <v>-296.9</v>
      </c>
      <c r="E33" s="1" t="n">
        <v>15</v>
      </c>
      <c r="F33" s="0" t="n">
        <f aca="false">E33+69</f>
        <v>84</v>
      </c>
      <c r="G33" s="2"/>
      <c r="H33" s="2" t="n">
        <v>32</v>
      </c>
      <c r="I33" s="2" t="n">
        <f aca="false">C33/248.3</f>
        <v>0.830849778493758</v>
      </c>
      <c r="J33" s="2" t="n">
        <f aca="false">D33/315</f>
        <v>-0.942539682539683</v>
      </c>
      <c r="K33" s="0" t="n">
        <f aca="false">F33/366</f>
        <v>0.229508196721311</v>
      </c>
      <c r="L33" s="2"/>
      <c r="M33" s="5" t="n">
        <v>0</v>
      </c>
      <c r="N33" s="5" t="n">
        <f aca="false">(Q33/PI())*-180</f>
        <v>-13.0800951068236</v>
      </c>
      <c r="O33" s="5"/>
      <c r="P33" s="2" t="n">
        <f aca="false">SQRT(C33^2+D33^2)</f>
        <v>361.53741161877</v>
      </c>
      <c r="Q33" s="2" t="n">
        <f aca="false">ATAN(F33/P33)</f>
        <v>0.228290726088071</v>
      </c>
    </row>
    <row r="34" customFormat="false" ht="15.75" hidden="false" customHeight="true" outlineLevel="0" collapsed="false">
      <c r="A34" s="2" t="n">
        <v>248.3</v>
      </c>
      <c r="B34" s="1" t="s">
        <v>43</v>
      </c>
      <c r="C34" s="7" t="n">
        <v>248.3</v>
      </c>
      <c r="D34" s="6" t="n">
        <v>-267.9</v>
      </c>
      <c r="E34" s="1" t="n">
        <v>15</v>
      </c>
      <c r="F34" s="0" t="n">
        <f aca="false">E34+69</f>
        <v>84</v>
      </c>
      <c r="G34" s="2"/>
      <c r="H34" s="2" t="n">
        <v>33</v>
      </c>
      <c r="I34" s="2" t="n">
        <f aca="false">C34/248.3</f>
        <v>1</v>
      </c>
      <c r="J34" s="2" t="n">
        <f aca="false">D34/315</f>
        <v>-0.85047619047619</v>
      </c>
      <c r="K34" s="0" t="n">
        <f aca="false">F34/366</f>
        <v>0.229508196721311</v>
      </c>
      <c r="L34" s="2"/>
      <c r="M34" s="5" t="n">
        <v>270</v>
      </c>
      <c r="N34" s="5" t="n">
        <f aca="false">(Q34/PI())*-180</f>
        <v>-12.9509090114055</v>
      </c>
      <c r="O34" s="5"/>
      <c r="P34" s="2" t="n">
        <f aca="false">SQRT(C34^2+D34^2)</f>
        <v>365.271542828072</v>
      </c>
      <c r="Q34" s="2" t="n">
        <f aca="false">ATAN(F34/P34)</f>
        <v>0.22603600337523</v>
      </c>
    </row>
    <row r="35" customFormat="false" ht="15.75" hidden="false" customHeight="true" outlineLevel="0" collapsed="false">
      <c r="B35" s="1" t="s">
        <v>44</v>
      </c>
      <c r="C35" s="7" t="n">
        <v>248.3</v>
      </c>
      <c r="D35" s="1" t="n">
        <v>-235.3</v>
      </c>
      <c r="E35" s="1" t="n">
        <v>15</v>
      </c>
      <c r="F35" s="0" t="n">
        <f aca="false">E35+69</f>
        <v>84</v>
      </c>
      <c r="G35" s="2"/>
      <c r="H35" s="2" t="n">
        <v>34</v>
      </c>
      <c r="I35" s="2" t="n">
        <f aca="false">C35/248.3</f>
        <v>1</v>
      </c>
      <c r="J35" s="2" t="n">
        <f aca="false">D35/315</f>
        <v>-0.746984126984127</v>
      </c>
      <c r="K35" s="0" t="n">
        <f aca="false">F35/366</f>
        <v>0.229508196721311</v>
      </c>
      <c r="L35" s="2"/>
      <c r="M35" s="5" t="n">
        <v>270</v>
      </c>
      <c r="N35" s="5" t="n">
        <f aca="false">(Q35/PI())*-180</f>
        <v>-13.7963671415391</v>
      </c>
      <c r="O35" s="5"/>
      <c r="P35" s="2" t="n">
        <f aca="false">SQRT(C35^2+D35^2)</f>
        <v>342.080370673326</v>
      </c>
      <c r="Q35" s="2" t="n">
        <f aca="false">ATAN(F35/P35)</f>
        <v>0.240792031433816</v>
      </c>
    </row>
    <row r="36" customFormat="false" ht="15.75" hidden="false" customHeight="true" outlineLevel="0" collapsed="false">
      <c r="B36" s="1" t="s">
        <v>45</v>
      </c>
      <c r="C36" s="7" t="n">
        <v>248.3</v>
      </c>
      <c r="D36" s="1" t="n">
        <v>-204.7</v>
      </c>
      <c r="E36" s="1" t="n">
        <v>15</v>
      </c>
      <c r="F36" s="0" t="n">
        <f aca="false">E36+69</f>
        <v>84</v>
      </c>
      <c r="G36" s="2"/>
      <c r="H36" s="2" t="n">
        <v>35</v>
      </c>
      <c r="I36" s="2" t="n">
        <f aca="false">C36/248.3</f>
        <v>1</v>
      </c>
      <c r="J36" s="2" t="n">
        <f aca="false">D36/315</f>
        <v>-0.64984126984127</v>
      </c>
      <c r="K36" s="0" t="n">
        <f aca="false">F36/366</f>
        <v>0.229508196721311</v>
      </c>
      <c r="L36" s="2"/>
      <c r="M36" s="5" t="n">
        <v>270</v>
      </c>
      <c r="N36" s="5" t="n">
        <f aca="false">(Q36/PI())*-180</f>
        <v>-14.6295887776648</v>
      </c>
      <c r="O36" s="5"/>
      <c r="P36" s="2" t="n">
        <f aca="false">SQRT(C36^2+D36^2)</f>
        <v>321.799596022121</v>
      </c>
      <c r="Q36" s="2" t="n">
        <f aca="false">ATAN(F36/P36)</f>
        <v>0.255334492383064</v>
      </c>
    </row>
    <row r="37" customFormat="false" ht="15.75" hidden="false" customHeight="true" outlineLevel="0" collapsed="false">
      <c r="B37" s="1" t="s">
        <v>46</v>
      </c>
      <c r="C37" s="7" t="n">
        <v>248.3</v>
      </c>
      <c r="D37" s="1" t="n">
        <v>-173.1</v>
      </c>
      <c r="E37" s="1" t="n">
        <v>15</v>
      </c>
      <c r="F37" s="0" t="n">
        <f aca="false">E37+69</f>
        <v>84</v>
      </c>
      <c r="G37" s="2"/>
      <c r="H37" s="2" t="n">
        <v>36</v>
      </c>
      <c r="I37" s="2" t="n">
        <f aca="false">C37/248.3</f>
        <v>1</v>
      </c>
      <c r="J37" s="2" t="n">
        <f aca="false">D37/315</f>
        <v>-0.54952380952381</v>
      </c>
      <c r="K37" s="0" t="n">
        <f aca="false">F37/366</f>
        <v>0.229508196721311</v>
      </c>
      <c r="L37" s="2"/>
      <c r="M37" s="5" t="n">
        <v>270</v>
      </c>
      <c r="N37" s="5" t="n">
        <f aca="false">(Q37/PI())*-180</f>
        <v>-15.5103356424365</v>
      </c>
      <c r="O37" s="5"/>
      <c r="P37" s="2" t="n">
        <f aca="false">SQRT(C37^2+D37^2)</f>
        <v>302.682176548273</v>
      </c>
      <c r="Q37" s="2" t="n">
        <f aca="false">ATAN(F37/P37)</f>
        <v>0.270706425049947</v>
      </c>
    </row>
    <row r="38" customFormat="false" ht="15.75" hidden="false" customHeight="true" outlineLevel="0" collapsed="false">
      <c r="B38" s="1" t="s">
        <v>47</v>
      </c>
      <c r="C38" s="7" t="n">
        <v>248.3</v>
      </c>
      <c r="D38" s="1" t="n">
        <v>-140.5</v>
      </c>
      <c r="E38" s="1" t="n">
        <v>15</v>
      </c>
      <c r="F38" s="0" t="n">
        <f aca="false">E38+69</f>
        <v>84</v>
      </c>
      <c r="G38" s="2"/>
      <c r="H38" s="2" t="n">
        <v>37</v>
      </c>
      <c r="I38" s="2" t="n">
        <f aca="false">C38/248.3</f>
        <v>1</v>
      </c>
      <c r="J38" s="2" t="n">
        <f aca="false">D38/315</f>
        <v>-0.446031746031746</v>
      </c>
      <c r="K38" s="0" t="n">
        <f aca="false">F38/366</f>
        <v>0.229508196721311</v>
      </c>
      <c r="L38" s="2"/>
      <c r="M38" s="5" t="n">
        <v>270</v>
      </c>
      <c r="N38" s="5" t="n">
        <f aca="false">(Q38/PI())*-180</f>
        <v>-16.4061294373101</v>
      </c>
      <c r="O38" s="5"/>
      <c r="P38" s="2" t="n">
        <f aca="false">SQRT(C38^2+D38^2)</f>
        <v>285.294829956661</v>
      </c>
      <c r="Q38" s="2" t="n">
        <f aca="false">ATAN(F38/P38)</f>
        <v>0.286340976189426</v>
      </c>
    </row>
    <row r="39" customFormat="false" ht="15.75" hidden="false" customHeight="true" outlineLevel="0" collapsed="false">
      <c r="B39" s="1" t="s">
        <v>48</v>
      </c>
      <c r="C39" s="7" t="n">
        <v>248.3</v>
      </c>
      <c r="D39" s="1" t="n">
        <v>-109.9</v>
      </c>
      <c r="E39" s="1" t="n">
        <v>15</v>
      </c>
      <c r="F39" s="0" t="n">
        <f aca="false">E39+69</f>
        <v>84</v>
      </c>
      <c r="G39" s="2"/>
      <c r="H39" s="2" t="n">
        <v>38</v>
      </c>
      <c r="I39" s="2" t="n">
        <f aca="false">C39/248.3</f>
        <v>1</v>
      </c>
      <c r="J39" s="2" t="n">
        <f aca="false">D39/315</f>
        <v>-0.348888888888889</v>
      </c>
      <c r="K39" s="0" t="n">
        <f aca="false">F39/366</f>
        <v>0.229508196721311</v>
      </c>
      <c r="L39" s="2"/>
      <c r="M39" s="5" t="n">
        <v>270</v>
      </c>
      <c r="N39" s="5" t="n">
        <f aca="false">(Q39/PI())*-180</f>
        <v>-17.1896167066167</v>
      </c>
      <c r="O39" s="5"/>
      <c r="P39" s="2" t="n">
        <f aca="false">SQRT(C39^2+D39^2)</f>
        <v>271.534344052461</v>
      </c>
      <c r="Q39" s="2" t="n">
        <f aca="false">ATAN(F39/P39)</f>
        <v>0.300015408686286</v>
      </c>
    </row>
    <row r="40" customFormat="false" ht="15.75" hidden="false" customHeight="true" outlineLevel="0" collapsed="false">
      <c r="B40" s="1" t="s">
        <v>49</v>
      </c>
      <c r="C40" s="7" t="n">
        <v>248.3</v>
      </c>
      <c r="D40" s="1" t="n">
        <v>-78.2</v>
      </c>
      <c r="E40" s="1" t="n">
        <v>15</v>
      </c>
      <c r="F40" s="0" t="n">
        <f aca="false">E40+69</f>
        <v>84</v>
      </c>
      <c r="G40" s="2"/>
      <c r="H40" s="2" t="n">
        <v>39</v>
      </c>
      <c r="I40" s="2" t="n">
        <f aca="false">C40/248.3</f>
        <v>1</v>
      </c>
      <c r="J40" s="2" t="n">
        <f aca="false">D40/315</f>
        <v>-0.248253968253968</v>
      </c>
      <c r="K40" s="0" t="n">
        <f aca="false">F40/366</f>
        <v>0.229508196721311</v>
      </c>
      <c r="L40" s="2"/>
      <c r="M40" s="5" t="n">
        <v>270</v>
      </c>
      <c r="N40" s="5" t="n">
        <f aca="false">(Q40/PI())*-180</f>
        <v>-17.8836399625373</v>
      </c>
      <c r="O40" s="5"/>
      <c r="P40" s="2" t="n">
        <f aca="false">SQRT(C40^2+D40^2)</f>
        <v>260.323126133657</v>
      </c>
      <c r="Q40" s="2" t="n">
        <f aca="false">ATAN(F40/P40)</f>
        <v>0.31212839958751</v>
      </c>
    </row>
    <row r="41" customFormat="false" ht="15.75" hidden="false" customHeight="true" outlineLevel="0" collapsed="false">
      <c r="B41" s="1" t="s">
        <v>50</v>
      </c>
      <c r="C41" s="7" t="n">
        <v>248.3</v>
      </c>
      <c r="D41" s="1" t="n">
        <v>-45.6</v>
      </c>
      <c r="E41" s="1" t="n">
        <v>15</v>
      </c>
      <c r="F41" s="0" t="n">
        <f aca="false">E41+69</f>
        <v>84</v>
      </c>
      <c r="G41" s="2"/>
      <c r="H41" s="2" t="n">
        <v>40</v>
      </c>
      <c r="I41" s="2" t="n">
        <f aca="false">C41/248.3</f>
        <v>1</v>
      </c>
      <c r="J41" s="2" t="n">
        <f aca="false">D41/315</f>
        <v>-0.144761904761905</v>
      </c>
      <c r="K41" s="0" t="n">
        <f aca="false">F41/366</f>
        <v>0.229508196721311</v>
      </c>
      <c r="L41" s="2"/>
      <c r="M41" s="5" t="n">
        <v>270</v>
      </c>
      <c r="N41" s="5" t="n">
        <f aca="false">(Q41/PI())*-180</f>
        <v>-18.4041359212516</v>
      </c>
      <c r="O41" s="5"/>
      <c r="P41" s="2" t="n">
        <f aca="false">SQRT(C41^2+D41^2)</f>
        <v>252.452470774203</v>
      </c>
      <c r="Q41" s="2" t="n">
        <f aca="false">ATAN(F41/P41)</f>
        <v>0.321212767810399</v>
      </c>
    </row>
    <row r="42" customFormat="false" ht="15.75" hidden="false" customHeight="true" outlineLevel="0" collapsed="false">
      <c r="B42" s="1" t="s">
        <v>51</v>
      </c>
      <c r="C42" s="7" t="n">
        <v>248.3</v>
      </c>
      <c r="D42" s="1" t="n">
        <v>-15</v>
      </c>
      <c r="E42" s="1" t="n">
        <v>15</v>
      </c>
      <c r="F42" s="0" t="n">
        <f aca="false">E42+69</f>
        <v>84</v>
      </c>
      <c r="G42" s="2"/>
      <c r="H42" s="2" t="n">
        <v>41</v>
      </c>
      <c r="I42" s="2" t="n">
        <f aca="false">C42/248.3</f>
        <v>1</v>
      </c>
      <c r="J42" s="2" t="n">
        <f aca="false">D42/315</f>
        <v>-0.0476190476190476</v>
      </c>
      <c r="K42" s="0" t="n">
        <f aca="false">F42/366</f>
        <v>0.229508196721311</v>
      </c>
      <c r="L42" s="2"/>
      <c r="M42" s="5" t="n">
        <v>270</v>
      </c>
      <c r="N42" s="5" t="n">
        <f aca="false">(Q42/PI())*-180</f>
        <v>-18.6590447661759</v>
      </c>
      <c r="O42" s="5"/>
      <c r="P42" s="2" t="n">
        <f aca="false">SQRT(C42^2+D42^2)</f>
        <v>248.752668327397</v>
      </c>
      <c r="Q42" s="2" t="n">
        <f aca="false">ATAN(F42/P42)</f>
        <v>0.325661766446786</v>
      </c>
    </row>
    <row r="43" customFormat="false" ht="15.75" hidden="false" customHeight="true" outlineLevel="0" collapsed="false">
      <c r="B43" s="1" t="s">
        <v>52</v>
      </c>
      <c r="C43" s="7" t="n">
        <v>248.3</v>
      </c>
      <c r="D43" s="1" t="n">
        <v>16.6</v>
      </c>
      <c r="E43" s="1" t="n">
        <v>15</v>
      </c>
      <c r="F43" s="0" t="n">
        <f aca="false">E43+69</f>
        <v>84</v>
      </c>
      <c r="G43" s="2"/>
      <c r="H43" s="2" t="n">
        <v>42</v>
      </c>
      <c r="I43" s="2" t="n">
        <f aca="false">C43/248.3</f>
        <v>1</v>
      </c>
      <c r="J43" s="2" t="n">
        <f aca="false">D43/315</f>
        <v>0.0526984126984127</v>
      </c>
      <c r="K43" s="0" t="n">
        <f aca="false">F43/366</f>
        <v>0.229508196721311</v>
      </c>
      <c r="L43" s="2"/>
      <c r="M43" s="5" t="n">
        <v>270</v>
      </c>
      <c r="N43" s="5" t="n">
        <f aca="false">(Q43/PI())*-180</f>
        <v>-18.6519533894593</v>
      </c>
      <c r="O43" s="5"/>
      <c r="P43" s="2" t="n">
        <f aca="false">SQRT(C43^2+D43^2)</f>
        <v>248.854274626738</v>
      </c>
      <c r="Q43" s="2" t="n">
        <f aca="false">ATAN(F43/P43)</f>
        <v>0.32553799857458</v>
      </c>
    </row>
    <row r="44" customFormat="false" ht="15.75" hidden="false" customHeight="true" outlineLevel="0" collapsed="false">
      <c r="B44" s="1" t="s">
        <v>53</v>
      </c>
      <c r="C44" s="7" t="n">
        <v>248.3</v>
      </c>
      <c r="D44" s="1" t="n">
        <v>49.2</v>
      </c>
      <c r="E44" s="1" t="n">
        <v>15</v>
      </c>
      <c r="F44" s="0" t="n">
        <f aca="false">E44+69</f>
        <v>84</v>
      </c>
      <c r="G44" s="2"/>
      <c r="H44" s="2" t="n">
        <v>43</v>
      </c>
      <c r="I44" s="2" t="n">
        <f aca="false">C44/248.3</f>
        <v>1</v>
      </c>
      <c r="J44" s="2" t="n">
        <f aca="false">D44/315</f>
        <v>0.156190476190476</v>
      </c>
      <c r="K44" s="0" t="n">
        <f aca="false">F44/366</f>
        <v>0.229508196721311</v>
      </c>
      <c r="L44" s="2"/>
      <c r="M44" s="5" t="n">
        <v>270</v>
      </c>
      <c r="N44" s="5" t="n">
        <f aca="false">(Q44/PI())*-180</f>
        <v>-18.3583515360343</v>
      </c>
      <c r="O44" s="5"/>
      <c r="P44" s="2" t="n">
        <f aca="false">SQRT(C44^2+D44^2)</f>
        <v>253.127497518543</v>
      </c>
      <c r="Q44" s="2" t="n">
        <f aca="false">ATAN(F44/P44)</f>
        <v>0.320413679542357</v>
      </c>
    </row>
    <row r="45" customFormat="false" ht="15.75" hidden="false" customHeight="true" outlineLevel="0" collapsed="false">
      <c r="B45" s="1" t="s">
        <v>54</v>
      </c>
      <c r="C45" s="7" t="n">
        <v>248.3</v>
      </c>
      <c r="D45" s="1" t="n">
        <v>79.9</v>
      </c>
      <c r="E45" s="1" t="n">
        <v>15</v>
      </c>
      <c r="F45" s="0" t="n">
        <f aca="false">E45+69</f>
        <v>84</v>
      </c>
      <c r="G45" s="2"/>
      <c r="H45" s="2" t="n">
        <v>44</v>
      </c>
      <c r="I45" s="2" t="n">
        <f aca="false">C45/248.3</f>
        <v>1</v>
      </c>
      <c r="J45" s="2" t="n">
        <f aca="false">D45/315</f>
        <v>0.253650793650794</v>
      </c>
      <c r="K45" s="0" t="n">
        <f aca="false">F45/366</f>
        <v>0.229508196721311</v>
      </c>
      <c r="L45" s="2"/>
      <c r="M45" s="5" t="n">
        <v>270</v>
      </c>
      <c r="N45" s="5" t="n">
        <f aca="false">(Q45/PI())*-180</f>
        <v>-17.8505276323099</v>
      </c>
      <c r="O45" s="5"/>
      <c r="P45" s="2" t="n">
        <f aca="false">SQRT(C45^2+D45^2)</f>
        <v>260.838839132519</v>
      </c>
      <c r="Q45" s="2" t="n">
        <f aca="false">ATAN(F45/P45)</f>
        <v>0.311550480402035</v>
      </c>
    </row>
    <row r="46" customFormat="false" ht="15.75" hidden="false" customHeight="true" outlineLevel="0" collapsed="false">
      <c r="B46" s="1" t="s">
        <v>55</v>
      </c>
      <c r="C46" s="7" t="n">
        <v>248.3</v>
      </c>
      <c r="D46" s="1" t="n">
        <v>111.5</v>
      </c>
      <c r="E46" s="1" t="n">
        <v>15</v>
      </c>
      <c r="F46" s="0" t="n">
        <f aca="false">E46+69</f>
        <v>84</v>
      </c>
      <c r="G46" s="2"/>
      <c r="H46" s="2" t="n">
        <v>45</v>
      </c>
      <c r="I46" s="2" t="n">
        <f aca="false">C46/248.3</f>
        <v>1</v>
      </c>
      <c r="J46" s="2" t="n">
        <f aca="false">D46/315</f>
        <v>0.353968253968254</v>
      </c>
      <c r="K46" s="0" t="n">
        <f aca="false">F46/366</f>
        <v>0.229508196721311</v>
      </c>
      <c r="L46" s="2"/>
      <c r="M46" s="5" t="n">
        <v>270</v>
      </c>
      <c r="N46" s="5" t="n">
        <f aca="false">(Q46/PI())*-180</f>
        <v>-17.1508879941836</v>
      </c>
      <c r="O46" s="5"/>
      <c r="P46" s="2" t="n">
        <f aca="false">SQRT(C46^2+D46^2)</f>
        <v>272.18585562075</v>
      </c>
      <c r="Q46" s="2" t="n">
        <f aca="false">ATAN(F46/P46)</f>
        <v>0.299339465139271</v>
      </c>
    </row>
    <row r="47" customFormat="false" ht="15.75" hidden="false" customHeight="true" outlineLevel="0" collapsed="false">
      <c r="B47" s="1" t="s">
        <v>56</v>
      </c>
      <c r="C47" s="7" t="n">
        <v>248.3</v>
      </c>
      <c r="D47" s="1" t="n">
        <v>145.1</v>
      </c>
      <c r="E47" s="1" t="n">
        <v>15</v>
      </c>
      <c r="F47" s="0" t="n">
        <f aca="false">E47+69</f>
        <v>84</v>
      </c>
      <c r="G47" s="2"/>
      <c r="H47" s="2" t="n">
        <v>46</v>
      </c>
      <c r="I47" s="2" t="n">
        <f aca="false">C47/248.3</f>
        <v>1</v>
      </c>
      <c r="J47" s="2" t="n">
        <f aca="false">D47/315</f>
        <v>0.460634920634921</v>
      </c>
      <c r="K47" s="0" t="n">
        <f aca="false">F47/366</f>
        <v>0.229508196721311</v>
      </c>
      <c r="L47" s="2"/>
      <c r="M47" s="5" t="n">
        <v>270</v>
      </c>
      <c r="N47" s="5" t="n">
        <f aca="false">(Q47/PI())*-180</f>
        <v>-16.2822619907586</v>
      </c>
      <c r="O47" s="5"/>
      <c r="P47" s="2" t="n">
        <f aca="false">SQRT(C47^2+D47^2)</f>
        <v>287.588073466199</v>
      </c>
      <c r="Q47" s="2" t="n">
        <f aca="false">ATAN(F47/P47)</f>
        <v>0.284179081411064</v>
      </c>
    </row>
    <row r="48" customFormat="false" ht="15.75" hidden="false" customHeight="true" outlineLevel="0" collapsed="false">
      <c r="B48" s="1" t="s">
        <v>57</v>
      </c>
      <c r="C48" s="7" t="n">
        <v>248.3</v>
      </c>
      <c r="D48" s="1" t="n">
        <v>174.7</v>
      </c>
      <c r="E48" s="1" t="n">
        <v>15</v>
      </c>
      <c r="F48" s="0" t="n">
        <f aca="false">E48+69</f>
        <v>84</v>
      </c>
      <c r="G48" s="2"/>
      <c r="H48" s="2" t="n">
        <v>47</v>
      </c>
      <c r="I48" s="2" t="n">
        <f aca="false">C48/248.3</f>
        <v>1</v>
      </c>
      <c r="J48" s="2" t="n">
        <f aca="false">D48/315</f>
        <v>0.554603174603175</v>
      </c>
      <c r="K48" s="0" t="n">
        <f aca="false">F48/366</f>
        <v>0.229508196721311</v>
      </c>
      <c r="L48" s="2"/>
      <c r="M48" s="5" t="n">
        <v>270</v>
      </c>
      <c r="N48" s="5" t="n">
        <f aca="false">(Q48/PI())*-180</f>
        <v>-15.4656920259525</v>
      </c>
      <c r="O48" s="5"/>
      <c r="P48" s="2" t="n">
        <f aca="false">SQRT(C48^2+D48^2)</f>
        <v>303.600032938075</v>
      </c>
      <c r="Q48" s="2" t="n">
        <f aca="false">ATAN(F48/P48)</f>
        <v>0.269927246952303</v>
      </c>
    </row>
    <row r="49" customFormat="false" ht="15.75" hidden="false" customHeight="true" outlineLevel="0" collapsed="false">
      <c r="B49" s="1" t="s">
        <v>58</v>
      </c>
      <c r="C49" s="7" t="n">
        <v>248.3</v>
      </c>
      <c r="D49" s="1" t="n">
        <v>206.3</v>
      </c>
      <c r="E49" s="1" t="n">
        <v>15</v>
      </c>
      <c r="F49" s="0" t="n">
        <f aca="false">E49+69</f>
        <v>84</v>
      </c>
      <c r="G49" s="2"/>
      <c r="H49" s="2" t="n">
        <v>48</v>
      </c>
      <c r="I49" s="2" t="n">
        <f aca="false">C49/248.3</f>
        <v>1</v>
      </c>
      <c r="J49" s="2" t="n">
        <f aca="false">D49/315</f>
        <v>0.654920634920635</v>
      </c>
      <c r="K49" s="0" t="n">
        <f aca="false">F49/366</f>
        <v>0.229508196721311</v>
      </c>
      <c r="L49" s="2"/>
      <c r="M49" s="5" t="n">
        <v>270</v>
      </c>
      <c r="N49" s="5" t="n">
        <f aca="false">(Q49/PI())*-180</f>
        <v>-14.5853324830505</v>
      </c>
      <c r="O49" s="5"/>
      <c r="P49" s="2" t="n">
        <f aca="false">SQRT(C49^2+D49^2)</f>
        <v>322.81973297802</v>
      </c>
      <c r="Q49" s="2" t="n">
        <f aca="false">ATAN(F49/P49)</f>
        <v>0.254562074327311</v>
      </c>
    </row>
    <row r="50" customFormat="false" ht="15.75" hidden="false" customHeight="true" outlineLevel="0" collapsed="false">
      <c r="B50" s="1" t="s">
        <v>59</v>
      </c>
      <c r="C50" s="7" t="n">
        <v>248.3</v>
      </c>
      <c r="D50" s="1" t="n">
        <v>239</v>
      </c>
      <c r="E50" s="1" t="n">
        <v>15</v>
      </c>
      <c r="F50" s="0" t="n">
        <f aca="false">E50+69</f>
        <v>84</v>
      </c>
      <c r="G50" s="2"/>
      <c r="H50" s="2" t="n">
        <v>49</v>
      </c>
      <c r="I50" s="2" t="n">
        <f aca="false">C50/248.3</f>
        <v>1</v>
      </c>
      <c r="J50" s="2" t="n">
        <f aca="false">D50/315</f>
        <v>0.758730158730159</v>
      </c>
      <c r="K50" s="0" t="n">
        <f aca="false">F50/366</f>
        <v>0.229508196721311</v>
      </c>
      <c r="L50" s="2"/>
      <c r="M50" s="5" t="n">
        <v>270</v>
      </c>
      <c r="N50" s="5" t="n">
        <f aca="false">(Q50/PI())*-180</f>
        <v>-13.6979330266688</v>
      </c>
      <c r="O50" s="5"/>
      <c r="P50" s="2" t="n">
        <f aca="false">SQRT(C50^2+D50^2)</f>
        <v>344.635880314282</v>
      </c>
      <c r="Q50" s="2" t="n">
        <f aca="false">ATAN(F50/P50)</f>
        <v>0.239074032033043</v>
      </c>
    </row>
    <row r="51" customFormat="false" ht="15.75" hidden="false" customHeight="true" outlineLevel="0" collapsed="false">
      <c r="B51" s="1" t="s">
        <v>60</v>
      </c>
      <c r="C51" s="7" t="n">
        <v>248.3</v>
      </c>
      <c r="D51" s="1" t="n">
        <v>269.6</v>
      </c>
      <c r="E51" s="1" t="n">
        <v>15</v>
      </c>
      <c r="F51" s="0" t="n">
        <f aca="false">E51+69</f>
        <v>84</v>
      </c>
      <c r="G51" s="2"/>
      <c r="H51" s="2" t="n">
        <v>50</v>
      </c>
      <c r="I51" s="2" t="n">
        <f aca="false">C51/248.3</f>
        <v>1</v>
      </c>
      <c r="J51" s="2" t="n">
        <f aca="false">D51/315</f>
        <v>0.855873015873016</v>
      </c>
      <c r="K51" s="0" t="n">
        <f aca="false">F51/366</f>
        <v>0.229508196721311</v>
      </c>
      <c r="L51" s="2"/>
      <c r="M51" s="5" t="n">
        <v>270</v>
      </c>
      <c r="N51" s="5" t="n">
        <f aca="false">(Q51/PI())*-180</f>
        <v>-12.9082685740285</v>
      </c>
      <c r="O51" s="5"/>
      <c r="P51" s="2" t="n">
        <f aca="false">SQRT(C51^2+D51^2)</f>
        <v>366.520190439763</v>
      </c>
      <c r="Q51" s="2" t="n">
        <f aca="false">ATAN(F51/P51)</f>
        <v>0.225291787348511</v>
      </c>
    </row>
    <row r="52" customFormat="false" ht="15.75" hidden="false" customHeight="true" outlineLevel="0" collapsed="false">
      <c r="B52" s="1" t="s">
        <v>61</v>
      </c>
      <c r="C52" s="1" t="n">
        <v>205.4</v>
      </c>
      <c r="D52" s="6" t="n">
        <v>296.2</v>
      </c>
      <c r="E52" s="1" t="n">
        <v>15</v>
      </c>
      <c r="F52" s="0" t="n">
        <f aca="false">E52+69</f>
        <v>84</v>
      </c>
      <c r="G52" s="2"/>
      <c r="H52" s="2" t="n">
        <v>51</v>
      </c>
      <c r="I52" s="2" t="n">
        <f aca="false">C52/248.3</f>
        <v>0.827225130890052</v>
      </c>
      <c r="J52" s="2" t="n">
        <f aca="false">D52/315</f>
        <v>0.94031746031746</v>
      </c>
      <c r="K52" s="0" t="n">
        <f aca="false">F52/366</f>
        <v>0.229508196721311</v>
      </c>
      <c r="L52" s="2"/>
      <c r="M52" s="5" t="n">
        <v>270</v>
      </c>
      <c r="N52" s="5" t="n">
        <f aca="false">(Q52/PI())*-180</f>
        <v>-13.1182220259348</v>
      </c>
      <c r="O52" s="5"/>
      <c r="P52" s="2" t="n">
        <f aca="false">SQRT(C52^2+D52^2)</f>
        <v>360.449164238177</v>
      </c>
      <c r="Q52" s="2" t="n">
        <f aca="false">ATAN(F52/P52)</f>
        <v>0.228956166360204</v>
      </c>
    </row>
    <row r="53" customFormat="false" ht="15.75" hidden="false" customHeight="true" outlineLevel="0" collapsed="false">
      <c r="B53" s="1" t="s">
        <v>62</v>
      </c>
      <c r="C53" s="1" t="n">
        <v>173.8</v>
      </c>
      <c r="D53" s="6" t="n">
        <v>296.2</v>
      </c>
      <c r="E53" s="1" t="n">
        <v>15</v>
      </c>
      <c r="F53" s="0" t="n">
        <f aca="false">E53+69</f>
        <v>84</v>
      </c>
      <c r="G53" s="2"/>
      <c r="H53" s="2" t="n">
        <v>52</v>
      </c>
      <c r="I53" s="2" t="n">
        <f aca="false">C53/248.3</f>
        <v>0.699959726137737</v>
      </c>
      <c r="J53" s="2" t="n">
        <f aca="false">D53/315</f>
        <v>0.94031746031746</v>
      </c>
      <c r="K53" s="0" t="n">
        <f aca="false">F53/366</f>
        <v>0.229508196721311</v>
      </c>
      <c r="L53" s="2"/>
      <c r="M53" s="5" t="n">
        <v>180</v>
      </c>
      <c r="N53" s="5" t="n">
        <f aca="false">(Q53/PI())*-180</f>
        <v>-13.7443935055767</v>
      </c>
      <c r="O53" s="5"/>
      <c r="P53" s="2" t="n">
        <f aca="false">SQRT(C53^2+D53^2)</f>
        <v>343.425217478274</v>
      </c>
      <c r="Q53" s="2" t="n">
        <f aca="false">ATAN(F53/P53)</f>
        <v>0.239884920362039</v>
      </c>
    </row>
    <row r="54" customFormat="false" ht="15.75" hidden="false" customHeight="true" outlineLevel="0" collapsed="false">
      <c r="B54" s="1" t="s">
        <v>63</v>
      </c>
      <c r="C54" s="1" t="n">
        <v>141.2</v>
      </c>
      <c r="D54" s="6" t="n">
        <v>296.2</v>
      </c>
      <c r="E54" s="1" t="n">
        <v>15</v>
      </c>
      <c r="F54" s="0" t="n">
        <f aca="false">E54+69</f>
        <v>84</v>
      </c>
      <c r="G54" s="2"/>
      <c r="H54" s="2" t="n">
        <v>53</v>
      </c>
      <c r="I54" s="2" t="n">
        <f aca="false">C54/248.3</f>
        <v>0.568666935159082</v>
      </c>
      <c r="J54" s="2" t="n">
        <f aca="false">D54/315</f>
        <v>0.94031746031746</v>
      </c>
      <c r="K54" s="0" t="n">
        <f aca="false">F54/366</f>
        <v>0.229508196721311</v>
      </c>
      <c r="L54" s="2"/>
      <c r="M54" s="5" t="n">
        <v>180</v>
      </c>
      <c r="N54" s="5" t="n">
        <f aca="false">(Q54/PI())*-180</f>
        <v>-14.3589616657275</v>
      </c>
      <c r="O54" s="5"/>
      <c r="P54" s="2" t="n">
        <f aca="false">SQRT(C54^2+D54^2)</f>
        <v>328.133936068795</v>
      </c>
      <c r="Q54" s="2" t="n">
        <f aca="false">ATAN(F54/P54)</f>
        <v>0.250611158234594</v>
      </c>
    </row>
    <row r="55" customFormat="false" ht="15.75" hidden="false" customHeight="true" outlineLevel="0" collapsed="false">
      <c r="B55" s="1" t="s">
        <v>64</v>
      </c>
      <c r="C55" s="1" t="n">
        <v>110.5</v>
      </c>
      <c r="D55" s="6" t="n">
        <v>296.2</v>
      </c>
      <c r="E55" s="1" t="n">
        <v>15</v>
      </c>
      <c r="F55" s="0" t="n">
        <f aca="false">E55+69</f>
        <v>84</v>
      </c>
      <c r="G55" s="2"/>
      <c r="H55" s="2" t="n">
        <v>54</v>
      </c>
      <c r="I55" s="2" t="n">
        <f aca="false">C55/248.3</f>
        <v>0.445026178010471</v>
      </c>
      <c r="J55" s="2" t="n">
        <f aca="false">D55/315</f>
        <v>0.94031746031746</v>
      </c>
      <c r="K55" s="0" t="n">
        <f aca="false">F55/366</f>
        <v>0.229508196721311</v>
      </c>
      <c r="L55" s="2"/>
      <c r="M55" s="5" t="n">
        <v>180</v>
      </c>
      <c r="N55" s="5" t="n">
        <f aca="false">(Q55/PI())*-180</f>
        <v>-14.8799535468049</v>
      </c>
      <c r="O55" s="5"/>
      <c r="P55" s="2" t="n">
        <f aca="false">SQRT(C55^2+D55^2)</f>
        <v>316.140301132266</v>
      </c>
      <c r="Q55" s="2" t="n">
        <f aca="false">ATAN(F55/P55)</f>
        <v>0.259704181935554</v>
      </c>
    </row>
    <row r="56" customFormat="false" ht="15.75" hidden="false" customHeight="true" outlineLevel="0" collapsed="false">
      <c r="B56" s="1" t="s">
        <v>65</v>
      </c>
      <c r="C56" s="1" t="n">
        <v>78.9</v>
      </c>
      <c r="D56" s="6" t="n">
        <v>296.2</v>
      </c>
      <c r="E56" s="1" t="n">
        <v>15</v>
      </c>
      <c r="F56" s="0" t="n">
        <f aca="false">E56+69</f>
        <v>84</v>
      </c>
      <c r="G56" s="2"/>
      <c r="H56" s="2" t="n">
        <v>55</v>
      </c>
      <c r="I56" s="2" t="n">
        <f aca="false">C56/248.3</f>
        <v>0.317760773258155</v>
      </c>
      <c r="J56" s="2" t="n">
        <f aca="false">D56/315</f>
        <v>0.94031746031746</v>
      </c>
      <c r="K56" s="0" t="n">
        <f aca="false">F56/366</f>
        <v>0.229508196721311</v>
      </c>
      <c r="L56" s="2"/>
      <c r="M56" s="5" t="n">
        <v>180</v>
      </c>
      <c r="N56" s="5" t="n">
        <f aca="false">(Q56/PI())*-180</f>
        <v>-15.3249214611684</v>
      </c>
      <c r="O56" s="5"/>
      <c r="P56" s="2" t="n">
        <f aca="false">SQRT(C56^2+D56^2)</f>
        <v>306.528383677597</v>
      </c>
      <c r="Q56" s="2" t="n">
        <f aca="false">ATAN(F56/P56)</f>
        <v>0.267470337106929</v>
      </c>
    </row>
    <row r="57" customFormat="false" ht="15.75" hidden="false" customHeight="true" outlineLevel="0" collapsed="false">
      <c r="B57" s="1" t="s">
        <v>66</v>
      </c>
      <c r="C57" s="1" t="n">
        <v>46.3</v>
      </c>
      <c r="D57" s="6" t="n">
        <v>296.2</v>
      </c>
      <c r="E57" s="1" t="n">
        <v>15</v>
      </c>
      <c r="F57" s="0" t="n">
        <f aca="false">E57+69</f>
        <v>84</v>
      </c>
      <c r="G57" s="2"/>
      <c r="H57" s="2" t="n">
        <v>56</v>
      </c>
      <c r="I57" s="2" t="n">
        <f aca="false">C57/248.3</f>
        <v>0.186467982279501</v>
      </c>
      <c r="J57" s="2" t="n">
        <f aca="false">D57/315</f>
        <v>0.94031746031746</v>
      </c>
      <c r="K57" s="0" t="n">
        <f aca="false">F57/366</f>
        <v>0.229508196721311</v>
      </c>
      <c r="L57" s="2"/>
      <c r="M57" s="5" t="n">
        <v>180</v>
      </c>
      <c r="N57" s="5" t="n">
        <f aca="false">(Q57/PI())*-180</f>
        <v>-15.652328418466</v>
      </c>
      <c r="O57" s="5"/>
      <c r="P57" s="2" t="n">
        <f aca="false">SQRT(C57^2+D57^2)</f>
        <v>299.796814526105</v>
      </c>
      <c r="Q57" s="2" t="n">
        <f aca="false">ATAN(F57/P57)</f>
        <v>0.273184666505708</v>
      </c>
    </row>
    <row r="58" customFormat="false" ht="15.75" hidden="false" customHeight="true" outlineLevel="0" collapsed="false">
      <c r="B58" s="1" t="s">
        <v>67</v>
      </c>
      <c r="C58" s="1" t="n">
        <v>15.7</v>
      </c>
      <c r="D58" s="6" t="n">
        <v>296.2</v>
      </c>
      <c r="E58" s="1" t="n">
        <v>15</v>
      </c>
      <c r="F58" s="0" t="n">
        <f aca="false">E58+69</f>
        <v>84</v>
      </c>
      <c r="G58" s="2"/>
      <c r="H58" s="2" t="n">
        <v>57</v>
      </c>
      <c r="I58" s="2" t="n">
        <f aca="false">C58/248.3</f>
        <v>0.063229963753524</v>
      </c>
      <c r="J58" s="2" t="n">
        <f aca="false">D58/315</f>
        <v>0.94031746031746</v>
      </c>
      <c r="K58" s="0" t="n">
        <f aca="false">F58/366</f>
        <v>0.229508196721311</v>
      </c>
      <c r="L58" s="2"/>
      <c r="M58" s="5" t="n">
        <v>180</v>
      </c>
      <c r="N58" s="5" t="n">
        <f aca="false">(Q58/PI())*-180</f>
        <v>-15.8118370615692</v>
      </c>
      <c r="O58" s="5"/>
      <c r="P58" s="2" t="n">
        <f aca="false">SQRT(C58^2+D58^2)</f>
        <v>296.61579526384</v>
      </c>
      <c r="Q58" s="2" t="n">
        <f aca="false">ATAN(F58/P58)</f>
        <v>0.275968617513247</v>
      </c>
    </row>
    <row r="59" customFormat="false" ht="15.75" hidden="false" customHeight="false" outlineLevel="0" collapsed="false">
      <c r="B59" s="1" t="s">
        <v>68</v>
      </c>
      <c r="C59" s="1" t="n">
        <v>-15.9</v>
      </c>
      <c r="D59" s="6" t="n">
        <v>296.2</v>
      </c>
      <c r="E59" s="1" t="n">
        <v>15</v>
      </c>
      <c r="F59" s="0" t="n">
        <f aca="false">E59+69</f>
        <v>84</v>
      </c>
      <c r="G59" s="2"/>
      <c r="H59" s="2" t="n">
        <v>58</v>
      </c>
      <c r="I59" s="2" t="n">
        <f aca="false">C59/248.3</f>
        <v>-0.0640354409987918</v>
      </c>
      <c r="J59" s="2" t="n">
        <f aca="false">D59/315</f>
        <v>0.94031746031746</v>
      </c>
      <c r="K59" s="0" t="n">
        <f aca="false">F59/366</f>
        <v>0.229508196721311</v>
      </c>
      <c r="L59" s="2"/>
      <c r="M59" s="5" t="n">
        <v>180</v>
      </c>
      <c r="N59" s="5" t="n">
        <f aca="false">(Q59/PI())*-180</f>
        <v>-15.8112975756806</v>
      </c>
      <c r="O59" s="5"/>
      <c r="P59" s="2" t="n">
        <f aca="false">SQRT(C59^2+D59^2)</f>
        <v>296.626448584748</v>
      </c>
      <c r="Q59" s="2" t="n">
        <f aca="false">ATAN(F59/P59)</f>
        <v>0.275959201708224</v>
      </c>
    </row>
    <row r="60" customFormat="false" ht="15.75" hidden="false" customHeight="false" outlineLevel="0" collapsed="false">
      <c r="B60" s="1" t="s">
        <v>69</v>
      </c>
      <c r="C60" s="1" t="n">
        <v>-48.6</v>
      </c>
      <c r="D60" s="6" t="n">
        <v>296.2</v>
      </c>
      <c r="E60" s="1" t="n">
        <v>15</v>
      </c>
      <c r="F60" s="0" t="n">
        <f aca="false">E60+69</f>
        <v>84</v>
      </c>
      <c r="G60" s="2"/>
      <c r="H60" s="2" t="n">
        <v>59</v>
      </c>
      <c r="I60" s="2" t="n">
        <f aca="false">C60/248.3</f>
        <v>-0.195730970600081</v>
      </c>
      <c r="J60" s="2" t="n">
        <f aca="false">D60/315</f>
        <v>0.94031746031746</v>
      </c>
      <c r="K60" s="0" t="n">
        <f aca="false">F60/366</f>
        <v>0.229508196721311</v>
      </c>
      <c r="L60" s="2"/>
      <c r="M60" s="5" t="n">
        <v>180</v>
      </c>
      <c r="N60" s="5" t="n">
        <f aca="false">(Q60/PI())*-180</f>
        <v>-15.6342853495947</v>
      </c>
      <c r="O60" s="5"/>
      <c r="P60" s="2" t="n">
        <f aca="false">SQRT(C60^2+D60^2)</f>
        <v>300.160623666729</v>
      </c>
      <c r="Q60" s="2" t="n">
        <f aca="false">ATAN(F60/P60)</f>
        <v>0.27286975554674</v>
      </c>
    </row>
    <row r="61" customFormat="false" ht="15.75" hidden="false" customHeight="false" outlineLevel="0" collapsed="false">
      <c r="B61" s="1" t="s">
        <v>70</v>
      </c>
      <c r="C61" s="1" t="n">
        <v>-79.2</v>
      </c>
      <c r="D61" s="6" t="n">
        <v>296.2</v>
      </c>
      <c r="E61" s="1" t="n">
        <v>15</v>
      </c>
      <c r="F61" s="0" t="n">
        <f aca="false">E61+69</f>
        <v>84</v>
      </c>
      <c r="G61" s="2"/>
      <c r="H61" s="2" t="n">
        <v>60</v>
      </c>
      <c r="I61" s="2" t="n">
        <f aca="false">C61/248.3</f>
        <v>-0.318968989126057</v>
      </c>
      <c r="J61" s="2" t="n">
        <f aca="false">D61/315</f>
        <v>0.94031746031746</v>
      </c>
      <c r="K61" s="0" t="n">
        <f aca="false">F61/366</f>
        <v>0.229508196721311</v>
      </c>
      <c r="L61" s="2"/>
      <c r="M61" s="5" t="n">
        <v>180</v>
      </c>
      <c r="N61" s="5" t="n">
        <f aca="false">(Q61/PI())*-180</f>
        <v>-15.321236703259</v>
      </c>
      <c r="O61" s="5"/>
      <c r="P61" s="2" t="n">
        <f aca="false">SQRT(C61^2+D61^2)</f>
        <v>306.605740324606</v>
      </c>
      <c r="Q61" s="2" t="n">
        <f aca="false">ATAN(F61/P61)</f>
        <v>0.267406025949271</v>
      </c>
    </row>
    <row r="62" customFormat="false" ht="15.75" hidden="false" customHeight="false" outlineLevel="0" collapsed="false">
      <c r="B62" s="1" t="s">
        <v>71</v>
      </c>
      <c r="C62" s="1" t="n">
        <v>-110.8</v>
      </c>
      <c r="D62" s="6" t="n">
        <v>296.2</v>
      </c>
      <c r="E62" s="1" t="n">
        <v>15</v>
      </c>
      <c r="F62" s="0" t="n">
        <f aca="false">E62+69</f>
        <v>84</v>
      </c>
      <c r="G62" s="2"/>
      <c r="H62" s="2" t="n">
        <v>61</v>
      </c>
      <c r="I62" s="2" t="n">
        <f aca="false">C62/248.3</f>
        <v>-0.446234393878373</v>
      </c>
      <c r="J62" s="2" t="n">
        <f aca="false">D62/315</f>
        <v>0.94031746031746</v>
      </c>
      <c r="K62" s="0" t="n">
        <f aca="false">F62/366</f>
        <v>0.229508196721311</v>
      </c>
      <c r="L62" s="2"/>
      <c r="M62" s="5" t="n">
        <v>180</v>
      </c>
      <c r="N62" s="5" t="n">
        <f aca="false">(Q62/PI())*-180</f>
        <v>-14.8752329016424</v>
      </c>
      <c r="O62" s="5"/>
      <c r="P62" s="2" t="n">
        <f aca="false">SQRT(C62^2+D62^2)</f>
        <v>316.245284549825</v>
      </c>
      <c r="Q62" s="2" t="n">
        <f aca="false">ATAN(F62/P62)</f>
        <v>0.25962179113465</v>
      </c>
    </row>
    <row r="63" customFormat="false" ht="15.75" hidden="false" customHeight="false" outlineLevel="0" collapsed="false">
      <c r="B63" s="1" t="s">
        <v>72</v>
      </c>
      <c r="C63" s="1" t="n">
        <v>-143.4</v>
      </c>
      <c r="D63" s="6" t="n">
        <v>296.2</v>
      </c>
      <c r="E63" s="1" t="n">
        <v>15</v>
      </c>
      <c r="F63" s="0" t="n">
        <f aca="false">E63+69</f>
        <v>84</v>
      </c>
      <c r="G63" s="2"/>
      <c r="H63" s="2" t="n">
        <v>62</v>
      </c>
      <c r="I63" s="2" t="n">
        <f aca="false">C63/248.3</f>
        <v>-0.577527184857028</v>
      </c>
      <c r="J63" s="2" t="n">
        <f aca="false">D63/315</f>
        <v>0.94031746031746</v>
      </c>
      <c r="K63" s="0" t="n">
        <f aca="false">F63/366</f>
        <v>0.229508196721311</v>
      </c>
      <c r="L63" s="2"/>
      <c r="M63" s="5" t="n">
        <v>180</v>
      </c>
      <c r="N63" s="5" t="n">
        <f aca="false">(Q63/PI())*-180</f>
        <v>-14.3191053104563</v>
      </c>
      <c r="O63" s="5"/>
      <c r="P63" s="2" t="n">
        <f aca="false">SQRT(C63^2+D63^2)</f>
        <v>329.08661473843</v>
      </c>
      <c r="Q63" s="2" t="n">
        <f aca="false">ATAN(F63/P63)</f>
        <v>0.249915533607268</v>
      </c>
    </row>
    <row r="64" customFormat="false" ht="15.75" hidden="false" customHeight="false" outlineLevel="0" collapsed="false">
      <c r="B64" s="1" t="s">
        <v>73</v>
      </c>
      <c r="C64" s="1" t="n">
        <v>-174</v>
      </c>
      <c r="D64" s="6" t="n">
        <v>296.2</v>
      </c>
      <c r="E64" s="1" t="n">
        <v>15</v>
      </c>
      <c r="F64" s="0" t="n">
        <f aca="false">E64+69</f>
        <v>84</v>
      </c>
      <c r="G64" s="2"/>
      <c r="H64" s="2" t="n">
        <v>63</v>
      </c>
      <c r="I64" s="2" t="n">
        <f aca="false">C64/248.3</f>
        <v>-0.700765203383004</v>
      </c>
      <c r="J64" s="2" t="n">
        <f aca="false">D64/315</f>
        <v>0.94031746031746</v>
      </c>
      <c r="K64" s="0" t="n">
        <f aca="false">F64/366</f>
        <v>0.229508196721311</v>
      </c>
      <c r="L64" s="2"/>
      <c r="M64" s="5" t="n">
        <v>180</v>
      </c>
      <c r="N64" s="5" t="n">
        <f aca="false">(Q64/PI())*-180</f>
        <v>-13.7404957436151</v>
      </c>
      <c r="O64" s="5"/>
      <c r="P64" s="2" t="n">
        <f aca="false">SQRT(C64^2+D64^2)</f>
        <v>343.526476417757</v>
      </c>
      <c r="Q64" s="2" t="n">
        <f aca="false">ATAN(F64/P64)</f>
        <v>0.23981689158235</v>
      </c>
    </row>
    <row r="65" customFormat="false" ht="15.75" hidden="false" customHeight="false" outlineLevel="0" collapsed="false">
      <c r="B65" s="1" t="s">
        <v>74</v>
      </c>
      <c r="C65" s="1" t="n">
        <v>-205.7</v>
      </c>
      <c r="D65" s="6" t="n">
        <v>296.2</v>
      </c>
      <c r="E65" s="1" t="n">
        <v>15</v>
      </c>
      <c r="F65" s="0" t="n">
        <f aca="false">E65+69</f>
        <v>84</v>
      </c>
      <c r="G65" s="2"/>
      <c r="H65" s="2" t="n">
        <v>64</v>
      </c>
      <c r="I65" s="2" t="n">
        <f aca="false">C65/248.3</f>
        <v>-0.828433346757954</v>
      </c>
      <c r="J65" s="2" t="n">
        <f aca="false">D65/315</f>
        <v>0.94031746031746</v>
      </c>
      <c r="K65" s="0" t="n">
        <f aca="false">F65/366</f>
        <v>0.229508196721311</v>
      </c>
      <c r="L65" s="2"/>
      <c r="M65" s="5" t="n">
        <v>180</v>
      </c>
      <c r="N65" s="5" t="n">
        <f aca="false">(Q65/PI())*-180</f>
        <v>-13.1122152381287</v>
      </c>
      <c r="O65" s="5"/>
      <c r="P65" s="2" t="n">
        <f aca="false">SQRT(C65^2+D65^2)</f>
        <v>360.620201874493</v>
      </c>
      <c r="Q65" s="2" t="n">
        <f aca="false">ATAN(F65/P65)</f>
        <v>0.228851328135517</v>
      </c>
    </row>
    <row r="66" customFormat="false" ht="15.75" hidden="false" customHeight="false" outlineLevel="0" collapsed="false">
      <c r="A66" s="2" t="s">
        <v>75</v>
      </c>
      <c r="B66" s="1" t="s">
        <v>76</v>
      </c>
      <c r="C66" s="8" t="n">
        <v>-241</v>
      </c>
      <c r="D66" s="1" t="n">
        <v>250.2</v>
      </c>
      <c r="E66" s="1" t="n">
        <v>105</v>
      </c>
      <c r="F66" s="0" t="n">
        <f aca="false">E66+69</f>
        <v>174</v>
      </c>
      <c r="G66" s="2"/>
      <c r="H66" s="2" t="n">
        <v>65</v>
      </c>
      <c r="I66" s="2" t="n">
        <f aca="false">C66/248.3</f>
        <v>-0.970600080547725</v>
      </c>
      <c r="J66" s="2" t="n">
        <f aca="false">D66/315</f>
        <v>0.794285714285714</v>
      </c>
      <c r="K66" s="0" t="n">
        <f aca="false">F66/366</f>
        <v>0.475409836065574</v>
      </c>
      <c r="L66" s="2"/>
      <c r="M66" s="5" t="n">
        <v>90</v>
      </c>
      <c r="N66" s="5" t="n">
        <f aca="false">(Q66/PI())*-180</f>
        <v>-26.6051637696678</v>
      </c>
      <c r="O66" s="5"/>
      <c r="P66" s="2" t="n">
        <f aca="false">SQRT(C66^2+D66^2)</f>
        <v>347.391767317534</v>
      </c>
      <c r="Q66" s="2" t="n">
        <f aca="false">ATAN(F66/P66)</f>
        <v>0.46434770581301</v>
      </c>
    </row>
    <row r="67" customFormat="false" ht="15.75" hidden="false" customHeight="false" outlineLevel="0" collapsed="false">
      <c r="B67" s="1" t="s">
        <v>77</v>
      </c>
      <c r="C67" s="8" t="n">
        <v>-241</v>
      </c>
      <c r="D67" s="1" t="n">
        <v>151.8</v>
      </c>
      <c r="E67" s="1" t="n">
        <v>105</v>
      </c>
      <c r="F67" s="0" t="n">
        <f aca="false">E67+69</f>
        <v>174</v>
      </c>
      <c r="G67" s="2"/>
      <c r="H67" s="2" t="n">
        <v>66</v>
      </c>
      <c r="I67" s="2" t="n">
        <f aca="false">C67/248.3</f>
        <v>-0.970600080547725</v>
      </c>
      <c r="J67" s="2" t="n">
        <f aca="false">D67/315</f>
        <v>0.481904761904762</v>
      </c>
      <c r="K67" s="0" t="n">
        <f aca="false">F67/366</f>
        <v>0.475409836065574</v>
      </c>
      <c r="L67" s="2"/>
      <c r="M67" s="5" t="n">
        <v>90</v>
      </c>
      <c r="N67" s="5" t="n">
        <f aca="false">(Q67/PI())*-180</f>
        <v>-31.4209811531991</v>
      </c>
      <c r="O67" s="5"/>
      <c r="P67" s="2" t="n">
        <f aca="false">SQRT(C67^2+D67^2)</f>
        <v>284.82317321454</v>
      </c>
      <c r="Q67" s="2" t="n">
        <f aca="false">ATAN(F67/P67)</f>
        <v>0.54839957533041</v>
      </c>
    </row>
    <row r="68" customFormat="false" ht="15.75" hidden="false" customHeight="false" outlineLevel="0" collapsed="false">
      <c r="B68" s="1" t="s">
        <v>78</v>
      </c>
      <c r="C68" s="8" t="n">
        <v>-241</v>
      </c>
      <c r="D68" s="1" t="n">
        <v>50.3</v>
      </c>
      <c r="E68" s="1" t="n">
        <v>105</v>
      </c>
      <c r="F68" s="0" t="n">
        <f aca="false">E68+69</f>
        <v>174</v>
      </c>
      <c r="G68" s="2"/>
      <c r="H68" s="2" t="n">
        <v>67</v>
      </c>
      <c r="I68" s="2" t="n">
        <f aca="false">C68/248.3</f>
        <v>-0.970600080547725</v>
      </c>
      <c r="J68" s="2" t="n">
        <f aca="false">D68/315</f>
        <v>0.15968253968254</v>
      </c>
      <c r="K68" s="0" t="n">
        <f aca="false">F68/366</f>
        <v>0.475409836065574</v>
      </c>
      <c r="L68" s="2"/>
      <c r="M68" s="5" t="n">
        <v>90</v>
      </c>
      <c r="N68" s="5" t="n">
        <f aca="false">(Q68/PI())*-180</f>
        <v>-35.2512185009514</v>
      </c>
      <c r="O68" s="5"/>
      <c r="P68" s="2" t="n">
        <f aca="false">SQRT(C68^2+D68^2)</f>
        <v>246.193196494135</v>
      </c>
      <c r="Q68" s="2" t="n">
        <f aca="false">ATAN(F68/P68)</f>
        <v>0.615249828181541</v>
      </c>
    </row>
    <row r="69" customFormat="false" ht="15.75" hidden="false" customHeight="false" outlineLevel="0" collapsed="false">
      <c r="B69" s="1" t="s">
        <v>79</v>
      </c>
      <c r="C69" s="8" t="n">
        <v>-241</v>
      </c>
      <c r="D69" s="1" t="n">
        <v>-51.1</v>
      </c>
      <c r="E69" s="1" t="n">
        <v>105</v>
      </c>
      <c r="F69" s="0" t="n">
        <f aca="false">E69+69</f>
        <v>174</v>
      </c>
      <c r="G69" s="2"/>
      <c r="H69" s="2" t="n">
        <v>68</v>
      </c>
      <c r="I69" s="2" t="n">
        <f aca="false">C69/248.3</f>
        <v>-0.970600080547725</v>
      </c>
      <c r="J69" s="2" t="n">
        <f aca="false">D69/315</f>
        <v>-0.162222222222222</v>
      </c>
      <c r="K69" s="0" t="n">
        <f aca="false">F69/366</f>
        <v>0.475409836065574</v>
      </c>
      <c r="L69" s="2"/>
      <c r="M69" s="5" t="n">
        <v>90</v>
      </c>
      <c r="N69" s="5" t="n">
        <f aca="false">(Q69/PI())*-180</f>
        <v>-35.2331612088001</v>
      </c>
      <c r="O69" s="5"/>
      <c r="P69" s="2" t="n">
        <f aca="false">SQRT(C69^2+D69^2)</f>
        <v>246.357890070523</v>
      </c>
      <c r="Q69" s="2" t="n">
        <f aca="false">ATAN(F69/P69)</f>
        <v>0.614934668979506</v>
      </c>
    </row>
    <row r="70" customFormat="false" ht="15.75" hidden="false" customHeight="false" outlineLevel="0" collapsed="false">
      <c r="B70" s="1" t="s">
        <v>80</v>
      </c>
      <c r="C70" s="8" t="n">
        <v>-241</v>
      </c>
      <c r="D70" s="1" t="n">
        <v>-153.6</v>
      </c>
      <c r="E70" s="1" t="n">
        <v>105</v>
      </c>
      <c r="F70" s="0" t="n">
        <f aca="false">E70+69</f>
        <v>174</v>
      </c>
      <c r="G70" s="2"/>
      <c r="H70" s="2" t="n">
        <v>69</v>
      </c>
      <c r="I70" s="2" t="n">
        <f aca="false">C70/248.3</f>
        <v>-0.970600080547725</v>
      </c>
      <c r="J70" s="2" t="n">
        <f aca="false">D70/315</f>
        <v>-0.487619047619048</v>
      </c>
      <c r="K70" s="0" t="n">
        <f aca="false">F70/366</f>
        <v>0.475409836065574</v>
      </c>
      <c r="L70" s="2"/>
      <c r="M70" s="5" t="n">
        <v>90</v>
      </c>
      <c r="N70" s="5" t="n">
        <f aca="false">(Q70/PI())*-180</f>
        <v>-31.3349770109613</v>
      </c>
      <c r="O70" s="5"/>
      <c r="P70" s="2" t="n">
        <f aca="false">SQRT(C70^2+D70^2)</f>
        <v>285.786563714951</v>
      </c>
      <c r="Q70" s="2" t="n">
        <f aca="false">ATAN(F70/P70)</f>
        <v>0.546898519878005</v>
      </c>
    </row>
    <row r="71" customFormat="false" ht="15.75" hidden="false" customHeight="false" outlineLevel="0" collapsed="false">
      <c r="B71" s="1" t="s">
        <v>81</v>
      </c>
      <c r="C71" s="8" t="n">
        <v>-241</v>
      </c>
      <c r="D71" s="1" t="n">
        <v>-252</v>
      </c>
      <c r="E71" s="1" t="n">
        <v>105</v>
      </c>
      <c r="F71" s="0" t="n">
        <f aca="false">E71+69</f>
        <v>174</v>
      </c>
      <c r="G71" s="2"/>
      <c r="H71" s="2" t="n">
        <v>70</v>
      </c>
      <c r="I71" s="2" t="n">
        <f aca="false">C71/248.3</f>
        <v>-0.970600080547725</v>
      </c>
      <c r="J71" s="2" t="n">
        <f aca="false">D71/315</f>
        <v>-0.8</v>
      </c>
      <c r="K71" s="0" t="n">
        <f aca="false">F71/366</f>
        <v>0.475409836065574</v>
      </c>
      <c r="L71" s="2"/>
      <c r="M71" s="5" t="n">
        <v>90</v>
      </c>
      <c r="N71" s="5" t="n">
        <f aca="false">(Q71/PI())*-180</f>
        <v>-26.5196549464503</v>
      </c>
      <c r="O71" s="5"/>
      <c r="P71" s="2" t="n">
        <f aca="false">SQRT(C71^2+D71^2)</f>
        <v>348.69040709489</v>
      </c>
      <c r="Q71" s="2" t="n">
        <f aca="false">ATAN(F71/P71)</f>
        <v>0.462855295308357</v>
      </c>
    </row>
    <row r="72" customFormat="false" ht="15.75" hidden="false" customHeight="false" outlineLevel="0" collapsed="false">
      <c r="B72" s="1" t="s">
        <v>82</v>
      </c>
      <c r="C72" s="1" t="n">
        <v>-152.4</v>
      </c>
      <c r="D72" s="4" t="n">
        <v>-291.8</v>
      </c>
      <c r="E72" s="1" t="n">
        <v>105</v>
      </c>
      <c r="F72" s="0" t="n">
        <f aca="false">E72+69</f>
        <v>174</v>
      </c>
      <c r="G72" s="2"/>
      <c r="H72" s="2" t="n">
        <v>71</v>
      </c>
      <c r="I72" s="2" t="n">
        <f aca="false">C72/248.3</f>
        <v>-0.61377366089408</v>
      </c>
      <c r="J72" s="2" t="n">
        <f aca="false">D72/315</f>
        <v>-0.926349206349206</v>
      </c>
      <c r="K72" s="0" t="n">
        <f aca="false">F72/366</f>
        <v>0.475409836065574</v>
      </c>
      <c r="L72" s="2"/>
      <c r="M72" s="5" t="n">
        <v>0</v>
      </c>
      <c r="N72" s="5" t="n">
        <f aca="false">(Q72/PI())*-180</f>
        <v>-27.8588340131097</v>
      </c>
      <c r="O72" s="5"/>
      <c r="P72" s="2" t="n">
        <f aca="false">SQRT(C72^2+D72^2)</f>
        <v>329.200546779619</v>
      </c>
      <c r="Q72" s="2" t="n">
        <f aca="false">ATAN(F72/P72)</f>
        <v>0.48622837929535</v>
      </c>
    </row>
    <row r="73" customFormat="false" ht="15.75" hidden="false" customHeight="false" outlineLevel="0" collapsed="false">
      <c r="B73" s="1" t="s">
        <v>83</v>
      </c>
      <c r="C73" s="1" t="n">
        <v>-52</v>
      </c>
      <c r="D73" s="4" t="n">
        <v>-291.8</v>
      </c>
      <c r="E73" s="1" t="n">
        <v>105</v>
      </c>
      <c r="F73" s="0" t="n">
        <f aca="false">E73+69</f>
        <v>174</v>
      </c>
      <c r="G73" s="2"/>
      <c r="H73" s="2" t="n">
        <v>72</v>
      </c>
      <c r="I73" s="2" t="n">
        <f aca="false">C73/248.3</f>
        <v>-0.209424083769634</v>
      </c>
      <c r="J73" s="2" t="n">
        <f aca="false">D73/315</f>
        <v>-0.926349206349206</v>
      </c>
      <c r="K73" s="0" t="n">
        <f aca="false">F73/366</f>
        <v>0.475409836065574</v>
      </c>
      <c r="L73" s="2"/>
      <c r="M73" s="5" t="n">
        <v>0</v>
      </c>
      <c r="N73" s="5" t="n">
        <f aca="false">(Q73/PI())*-180</f>
        <v>-30.4150766003347</v>
      </c>
      <c r="O73" s="5"/>
      <c r="P73" s="2" t="n">
        <f aca="false">SQRT(C73^2+D73^2)</f>
        <v>296.397098501318</v>
      </c>
      <c r="Q73" s="2" t="n">
        <f aca="false">ATAN(F73/P73)</f>
        <v>0.530843228922123</v>
      </c>
    </row>
    <row r="74" customFormat="false" ht="15.75" hidden="false" customHeight="false" outlineLevel="0" collapsed="false">
      <c r="B74" s="1" t="s">
        <v>84</v>
      </c>
      <c r="C74" s="1" t="n">
        <v>52.5</v>
      </c>
      <c r="D74" s="4" t="n">
        <v>-291.8</v>
      </c>
      <c r="E74" s="1" t="n">
        <v>105</v>
      </c>
      <c r="F74" s="0" t="n">
        <f aca="false">E74+69</f>
        <v>174</v>
      </c>
      <c r="G74" s="2"/>
      <c r="H74" s="2" t="n">
        <v>73</v>
      </c>
      <c r="I74" s="2" t="n">
        <f aca="false">C74/248.3</f>
        <v>0.211437776882803</v>
      </c>
      <c r="J74" s="2" t="n">
        <f aca="false">D74/315</f>
        <v>-0.926349206349206</v>
      </c>
      <c r="K74" s="0" t="n">
        <f aca="false">F74/366</f>
        <v>0.475409836065574</v>
      </c>
      <c r="L74" s="2"/>
      <c r="M74" s="5" t="n">
        <v>0</v>
      </c>
      <c r="N74" s="5" t="n">
        <f aca="false">(Q74/PI())*-180</f>
        <v>-30.4076405282942</v>
      </c>
      <c r="O74" s="5"/>
      <c r="P74" s="2" t="n">
        <f aca="false">SQRT(C74^2+D74^2)</f>
        <v>296.485227287971</v>
      </c>
      <c r="Q74" s="2" t="n">
        <f aca="false">ATAN(F74/P74)</f>
        <v>0.530713444981602</v>
      </c>
    </row>
    <row r="75" customFormat="false" ht="15.75" hidden="false" customHeight="false" outlineLevel="0" collapsed="false">
      <c r="B75" s="1" t="s">
        <v>85</v>
      </c>
      <c r="C75" s="1" t="n">
        <v>150.9</v>
      </c>
      <c r="D75" s="4" t="n">
        <v>-291.8</v>
      </c>
      <c r="E75" s="1" t="n">
        <v>105</v>
      </c>
      <c r="F75" s="0" t="n">
        <f aca="false">E75+69</f>
        <v>174</v>
      </c>
      <c r="G75" s="2"/>
      <c r="H75" s="2" t="n">
        <v>74</v>
      </c>
      <c r="I75" s="2" t="n">
        <f aca="false">C75/248.3</f>
        <v>0.607732581554571</v>
      </c>
      <c r="J75" s="2" t="n">
        <f aca="false">D75/315</f>
        <v>-0.926349206349206</v>
      </c>
      <c r="K75" s="0" t="n">
        <f aca="false">F75/366</f>
        <v>0.475409836065574</v>
      </c>
      <c r="L75" s="2"/>
      <c r="M75" s="5" t="n">
        <v>0</v>
      </c>
      <c r="N75" s="5" t="n">
        <f aca="false">(Q75/PI())*-180</f>
        <v>-27.9086534173193</v>
      </c>
      <c r="O75" s="5"/>
      <c r="P75" s="2" t="n">
        <f aca="false">SQRT(C75^2+D75^2)</f>
        <v>328.508827887471</v>
      </c>
      <c r="Q75" s="2" t="n">
        <f aca="false">ATAN(F75/P75)</f>
        <v>0.487097891930189</v>
      </c>
    </row>
    <row r="76" customFormat="false" ht="15.75" hidden="false" customHeight="false" outlineLevel="0" collapsed="false">
      <c r="B76" s="1" t="s">
        <v>86</v>
      </c>
      <c r="C76" s="7" t="n">
        <v>241.4</v>
      </c>
      <c r="D76" s="1" t="n">
        <v>-252</v>
      </c>
      <c r="E76" s="1" t="n">
        <v>105</v>
      </c>
      <c r="F76" s="0" t="n">
        <f aca="false">E76+69</f>
        <v>174</v>
      </c>
      <c r="G76" s="2"/>
      <c r="H76" s="2" t="n">
        <v>75</v>
      </c>
      <c r="I76" s="2" t="n">
        <f aca="false">C76/248.3</f>
        <v>0.97221103503826</v>
      </c>
      <c r="J76" s="2" t="n">
        <f aca="false">D76/315</f>
        <v>-0.8</v>
      </c>
      <c r="K76" s="0" t="n">
        <f aca="false">F76/366</f>
        <v>0.475409836065574</v>
      </c>
      <c r="L76" s="2"/>
      <c r="M76" s="5" t="n">
        <v>270</v>
      </c>
      <c r="N76" s="5" t="n">
        <f aca="false">(Q76/PI())*-180</f>
        <v>-26.5015091940776</v>
      </c>
      <c r="O76" s="5"/>
      <c r="P76" s="2" t="n">
        <f aca="false">SQRT(C76^2+D76^2)</f>
        <v>348.966989842879</v>
      </c>
      <c r="Q76" s="2" t="n">
        <f aca="false">ATAN(F76/P76)</f>
        <v>0.462538592184203</v>
      </c>
    </row>
    <row r="77" customFormat="false" ht="15.75" hidden="false" customHeight="false" outlineLevel="0" collapsed="false">
      <c r="B77" s="1" t="s">
        <v>87</v>
      </c>
      <c r="C77" s="7" t="n">
        <v>241.4</v>
      </c>
      <c r="D77" s="1" t="n">
        <v>-154.6</v>
      </c>
      <c r="E77" s="1" t="n">
        <v>105</v>
      </c>
      <c r="F77" s="0" t="n">
        <f aca="false">E77+69</f>
        <v>174</v>
      </c>
      <c r="G77" s="2"/>
      <c r="H77" s="2" t="n">
        <v>76</v>
      </c>
      <c r="I77" s="2" t="n">
        <f aca="false">C77/248.3</f>
        <v>0.97221103503826</v>
      </c>
      <c r="J77" s="2" t="n">
        <f aca="false">D77/315</f>
        <v>-0.490793650793651</v>
      </c>
      <c r="K77" s="0" t="n">
        <f aca="false">F77/366</f>
        <v>0.475409836065574</v>
      </c>
      <c r="L77" s="2"/>
      <c r="M77" s="5" t="n">
        <v>270</v>
      </c>
      <c r="N77" s="5" t="n">
        <f aca="false">(Q77/PI())*-180</f>
        <v>-31.257188034505</v>
      </c>
      <c r="O77" s="5"/>
      <c r="P77" s="2" t="n">
        <f aca="false">SQRT(C77^2+D77^2)</f>
        <v>286.66203097027</v>
      </c>
      <c r="Q77" s="2" t="n">
        <f aca="false">ATAN(F77/P77)</f>
        <v>0.545540846117087</v>
      </c>
    </row>
    <row r="78" customFormat="false" ht="15.75" hidden="false" customHeight="false" outlineLevel="0" collapsed="false">
      <c r="B78" s="1" t="s">
        <v>88</v>
      </c>
      <c r="C78" s="7" t="n">
        <v>241.4</v>
      </c>
      <c r="D78" s="1" t="n">
        <v>-50.1</v>
      </c>
      <c r="E78" s="1" t="n">
        <v>105</v>
      </c>
      <c r="F78" s="0" t="n">
        <f aca="false">E78+69</f>
        <v>174</v>
      </c>
      <c r="G78" s="2"/>
      <c r="H78" s="2" t="n">
        <v>77</v>
      </c>
      <c r="I78" s="2" t="n">
        <f aca="false">C78/248.3</f>
        <v>0.97221103503826</v>
      </c>
      <c r="J78" s="2" t="n">
        <f aca="false">D78/315</f>
        <v>-0.159047619047619</v>
      </c>
      <c r="K78" s="0" t="n">
        <f aca="false">F78/366</f>
        <v>0.475409836065574</v>
      </c>
      <c r="L78" s="2"/>
      <c r="M78" s="5" t="n">
        <v>270</v>
      </c>
      <c r="N78" s="5" t="n">
        <f aca="false">(Q78/PI())*-180</f>
        <v>-35.2127693794205</v>
      </c>
      <c r="O78" s="5"/>
      <c r="P78" s="2" t="n">
        <f aca="false">SQRT(C78^2+D78^2)</f>
        <v>246.544052858713</v>
      </c>
      <c r="Q78" s="2" t="n">
        <f aca="false">ATAN(F78/P78)</f>
        <v>0.614578764416327</v>
      </c>
    </row>
    <row r="79" customFormat="false" ht="15.75" hidden="false" customHeight="false" outlineLevel="0" collapsed="false">
      <c r="B79" s="1" t="s">
        <v>89</v>
      </c>
      <c r="C79" s="7" t="n">
        <v>241.4</v>
      </c>
      <c r="D79" s="1" t="n">
        <v>49.3</v>
      </c>
      <c r="E79" s="1" t="n">
        <v>105</v>
      </c>
      <c r="F79" s="0" t="n">
        <f aca="false">E79+69</f>
        <v>174</v>
      </c>
      <c r="G79" s="2"/>
      <c r="H79" s="2" t="n">
        <v>78</v>
      </c>
      <c r="I79" s="2" t="n">
        <f aca="false">C79/248.3</f>
        <v>0.97221103503826</v>
      </c>
      <c r="J79" s="2" t="n">
        <f aca="false">D79/315</f>
        <v>0.156507936507937</v>
      </c>
      <c r="K79" s="0" t="n">
        <f aca="false">F79/366</f>
        <v>0.475409836065574</v>
      </c>
      <c r="L79" s="2"/>
      <c r="M79" s="5" t="n">
        <v>270</v>
      </c>
      <c r="N79" s="5" t="n">
        <f aca="false">(Q79/PI())*-180</f>
        <v>-35.2304390336351</v>
      </c>
      <c r="O79" s="5"/>
      <c r="P79" s="2" t="n">
        <f aca="false">SQRT(C79^2+D79^2)</f>
        <v>246.382730725999</v>
      </c>
      <c r="Q79" s="2" t="n">
        <f aca="false">ATAN(F79/P79)</f>
        <v>0.614887158060062</v>
      </c>
    </row>
    <row r="80" customFormat="false" ht="15.75" hidden="false" customHeight="false" outlineLevel="0" collapsed="false">
      <c r="B80" s="1" t="s">
        <v>90</v>
      </c>
      <c r="C80" s="7" t="n">
        <v>241.4</v>
      </c>
      <c r="D80" s="1" t="n">
        <v>149.8</v>
      </c>
      <c r="E80" s="1" t="n">
        <v>105</v>
      </c>
      <c r="F80" s="0" t="n">
        <f aca="false">E80+69</f>
        <v>174</v>
      </c>
      <c r="G80" s="2"/>
      <c r="H80" s="2" t="n">
        <v>79</v>
      </c>
      <c r="I80" s="2" t="n">
        <f aca="false">C80/248.3</f>
        <v>0.97221103503826</v>
      </c>
      <c r="J80" s="2" t="n">
        <f aca="false">D80/315</f>
        <v>0.475555555555556</v>
      </c>
      <c r="K80" s="0" t="n">
        <f aca="false">F80/366</f>
        <v>0.475409836065574</v>
      </c>
      <c r="L80" s="2"/>
      <c r="M80" s="5" t="n">
        <v>270</v>
      </c>
      <c r="N80" s="5" t="n">
        <f aca="false">(Q80/PI())*-180</f>
        <v>-31.4856313371611</v>
      </c>
      <c r="O80" s="5"/>
      <c r="P80" s="2" t="n">
        <f aca="false">SQRT(C80^2+D80^2)</f>
        <v>284.102094325262</v>
      </c>
      <c r="Q80" s="2" t="n">
        <f aca="false">ATAN(F80/P80)</f>
        <v>0.549527933902566</v>
      </c>
    </row>
    <row r="81" customFormat="false" ht="15.75" hidden="false" customHeight="false" outlineLevel="0" collapsed="false">
      <c r="B81" s="1" t="s">
        <v>91</v>
      </c>
      <c r="C81" s="7" t="n">
        <v>241.4</v>
      </c>
      <c r="D81" s="1" t="n">
        <v>250.2</v>
      </c>
      <c r="E81" s="1" t="n">
        <v>105</v>
      </c>
      <c r="F81" s="0" t="n">
        <f aca="false">E81+69</f>
        <v>174</v>
      </c>
      <c r="G81" s="2"/>
      <c r="H81" s="2" t="n">
        <v>80</v>
      </c>
      <c r="I81" s="2" t="n">
        <f aca="false">C81/248.3</f>
        <v>0.97221103503826</v>
      </c>
      <c r="J81" s="2" t="n">
        <f aca="false">D81/315</f>
        <v>0.794285714285714</v>
      </c>
      <c r="K81" s="0" t="n">
        <f aca="false">F81/366</f>
        <v>0.475409836065574</v>
      </c>
      <c r="L81" s="2"/>
      <c r="M81" s="5" t="n">
        <v>270</v>
      </c>
      <c r="N81" s="5" t="n">
        <f aca="false">(Q81/PI())*-180</f>
        <v>-26.5868412413252</v>
      </c>
      <c r="O81" s="5"/>
      <c r="P81" s="2" t="n">
        <f aca="false">SQRT(C81^2+D81^2)</f>
        <v>347.669383178905</v>
      </c>
      <c r="Q81" s="2" t="n">
        <f aca="false">ATAN(F81/P81)</f>
        <v>0.464027917366141</v>
      </c>
    </row>
    <row r="82" customFormat="false" ht="15.75" hidden="false" customHeight="false" outlineLevel="0" collapsed="false">
      <c r="B82" s="1" t="s">
        <v>92</v>
      </c>
      <c r="C82" s="1" t="n">
        <v>153.9</v>
      </c>
      <c r="D82" s="6" t="n">
        <v>291</v>
      </c>
      <c r="E82" s="1" t="n">
        <v>105</v>
      </c>
      <c r="F82" s="0" t="n">
        <f aca="false">E82+69</f>
        <v>174</v>
      </c>
      <c r="G82" s="2"/>
      <c r="H82" s="2" t="n">
        <v>81</v>
      </c>
      <c r="I82" s="2" t="n">
        <f aca="false">C82/248.3</f>
        <v>0.619814740233588</v>
      </c>
      <c r="J82" s="2" t="n">
        <f aca="false">D82/315</f>
        <v>0.923809523809524</v>
      </c>
      <c r="K82" s="0" t="n">
        <f aca="false">F82/366</f>
        <v>0.475409836065574</v>
      </c>
      <c r="L82" s="2"/>
      <c r="M82" s="5" t="n">
        <v>180</v>
      </c>
      <c r="N82" s="5" t="n">
        <f aca="false">(Q82/PI())*-180</f>
        <v>-27.8595755825204</v>
      </c>
      <c r="O82" s="5"/>
      <c r="P82" s="2" t="n">
        <f aca="false">SQRT(C82^2+D82^2)</f>
        <v>329.190233755499</v>
      </c>
      <c r="Q82" s="2" t="n">
        <f aca="false">ATAN(F82/P82)</f>
        <v>0.486241322123198</v>
      </c>
    </row>
    <row r="83" customFormat="false" ht="15.75" hidden="false" customHeight="false" outlineLevel="0" collapsed="false">
      <c r="B83" s="1" t="s">
        <v>93</v>
      </c>
      <c r="C83" s="1" t="n">
        <v>51.5</v>
      </c>
      <c r="D83" s="6" t="n">
        <v>291</v>
      </c>
      <c r="E83" s="1" t="n">
        <v>105</v>
      </c>
      <c r="F83" s="0" t="n">
        <f aca="false">E83+69</f>
        <v>174</v>
      </c>
      <c r="G83" s="2"/>
      <c r="H83" s="2" t="n">
        <v>82</v>
      </c>
      <c r="I83" s="2" t="n">
        <f aca="false">C83/248.3</f>
        <v>0.207410390656464</v>
      </c>
      <c r="J83" s="2" t="n">
        <f aca="false">D83/315</f>
        <v>0.923809523809524</v>
      </c>
      <c r="K83" s="0" t="n">
        <f aca="false">F83/366</f>
        <v>0.475409836065574</v>
      </c>
      <c r="L83" s="2"/>
      <c r="M83" s="5" t="n">
        <v>180</v>
      </c>
      <c r="N83" s="5" t="n">
        <f aca="false">(Q83/PI())*-180</f>
        <v>-30.4890942445579</v>
      </c>
      <c r="O83" s="5"/>
      <c r="P83" s="2" t="n">
        <f aca="false">SQRT(C83^2+D83^2)</f>
        <v>295.521995797267</v>
      </c>
      <c r="Q83" s="2" t="n">
        <f aca="false">ATAN(F83/P83)</f>
        <v>0.532135080518388</v>
      </c>
    </row>
    <row r="84" customFormat="false" ht="15.75" hidden="false" customHeight="false" outlineLevel="0" collapsed="false">
      <c r="B84" s="1" t="s">
        <v>94</v>
      </c>
      <c r="C84" s="1" t="n">
        <v>-50</v>
      </c>
      <c r="D84" s="6" t="n">
        <v>291</v>
      </c>
      <c r="E84" s="1" t="n">
        <v>105</v>
      </c>
      <c r="F84" s="0" t="n">
        <f aca="false">E84+69</f>
        <v>174</v>
      </c>
      <c r="G84" s="2"/>
      <c r="H84" s="2" t="n">
        <v>83</v>
      </c>
      <c r="I84" s="2" t="n">
        <f aca="false">C84/248.3</f>
        <v>-0.201369311316955</v>
      </c>
      <c r="J84" s="2" t="n">
        <f aca="false">D84/315</f>
        <v>0.923809523809524</v>
      </c>
      <c r="K84" s="0" t="n">
        <f aca="false">F84/366</f>
        <v>0.475409836065574</v>
      </c>
      <c r="L84" s="2"/>
      <c r="M84" s="5" t="n">
        <v>180</v>
      </c>
      <c r="N84" s="5" t="n">
        <f aca="false">(Q84/PI())*-180</f>
        <v>-30.5109536626225</v>
      </c>
      <c r="O84" s="5"/>
      <c r="P84" s="2" t="n">
        <f aca="false">SQRT(C84^2+D84^2)</f>
        <v>295.26428839262</v>
      </c>
      <c r="Q84" s="2" t="n">
        <f aca="false">ATAN(F84/P84)</f>
        <v>0.532516599336185</v>
      </c>
    </row>
    <row r="85" customFormat="false" ht="15.75" hidden="false" customHeight="false" outlineLevel="0" collapsed="false">
      <c r="B85" s="1" t="s">
        <v>95</v>
      </c>
      <c r="C85" s="1" t="n">
        <v>-150.4</v>
      </c>
      <c r="D85" s="6" t="n">
        <v>291</v>
      </c>
      <c r="E85" s="1" t="n">
        <v>105</v>
      </c>
      <c r="F85" s="0" t="n">
        <f aca="false">E85+69</f>
        <v>174</v>
      </c>
      <c r="G85" s="2"/>
      <c r="H85" s="2" t="n">
        <v>84</v>
      </c>
      <c r="I85" s="2" t="n">
        <f aca="false">C85/248.3</f>
        <v>-0.605718888441402</v>
      </c>
      <c r="J85" s="2" t="n">
        <f aca="false">D85/315</f>
        <v>0.923809523809524</v>
      </c>
      <c r="K85" s="0" t="n">
        <f aca="false">F85/366</f>
        <v>0.475409836065574</v>
      </c>
      <c r="L85" s="2"/>
      <c r="M85" s="5" t="n">
        <v>180</v>
      </c>
      <c r="N85" s="5" t="n">
        <f aca="false">(Q85/PI())*-180</f>
        <v>-27.9766374311603</v>
      </c>
      <c r="O85" s="5"/>
      <c r="P85" s="2" t="n">
        <f aca="false">SQRT(C85^2+D85^2)</f>
        <v>327.56855770968</v>
      </c>
      <c r="Q85" s="2" t="n">
        <f aca="false">ATAN(F85/P85)</f>
        <v>0.488284436810435</v>
      </c>
    </row>
    <row r="86" customFormat="false" ht="15.75" hidden="false" customHeight="false" outlineLevel="0" collapsed="false">
      <c r="A86" s="2" t="s">
        <v>96</v>
      </c>
      <c r="B86" s="1" t="s">
        <v>97</v>
      </c>
      <c r="C86" s="9" t="n">
        <v>-243.4</v>
      </c>
      <c r="D86" s="1" t="n">
        <v>202</v>
      </c>
      <c r="E86" s="1" t="n">
        <v>198</v>
      </c>
      <c r="F86" s="0" t="n">
        <f aca="false">E86+69</f>
        <v>267</v>
      </c>
      <c r="G86" s="2"/>
      <c r="H86" s="2" t="n">
        <v>85</v>
      </c>
      <c r="I86" s="2" t="n">
        <f aca="false">C86/248.3</f>
        <v>-0.980265807490938</v>
      </c>
      <c r="J86" s="2" t="n">
        <f aca="false">D86/315</f>
        <v>0.641269841269841</v>
      </c>
      <c r="K86" s="0" t="n">
        <f aca="false">F86/366</f>
        <v>0.729508196721312</v>
      </c>
      <c r="L86" s="2"/>
      <c r="M86" s="5" t="n">
        <v>90</v>
      </c>
      <c r="N86" s="5" t="n">
        <f aca="false">(Q86/PI())*-180</f>
        <v>-40.1686292735389</v>
      </c>
      <c r="O86" s="5"/>
      <c r="P86" s="2" t="n">
        <f aca="false">SQRT(C86^2+D86^2)</f>
        <v>316.302956040566</v>
      </c>
      <c r="Q86" s="2" t="n">
        <f aca="false">ATAN(F86/P86)</f>
        <v>0.701074836836232</v>
      </c>
    </row>
    <row r="87" customFormat="false" ht="15.75" hidden="false" customHeight="false" outlineLevel="0" collapsed="false">
      <c r="B87" s="1" t="s">
        <v>98</v>
      </c>
      <c r="C87" s="9" t="n">
        <v>-243.4</v>
      </c>
      <c r="D87" s="1" t="n">
        <v>96.9</v>
      </c>
      <c r="E87" s="1" t="n">
        <v>198</v>
      </c>
      <c r="F87" s="0" t="n">
        <f aca="false">E87+69</f>
        <v>267</v>
      </c>
      <c r="G87" s="2"/>
      <c r="H87" s="2" t="n">
        <v>86</v>
      </c>
      <c r="I87" s="2" t="n">
        <f aca="false">C87/248.3</f>
        <v>-0.980265807490938</v>
      </c>
      <c r="J87" s="2" t="n">
        <f aca="false">D87/315</f>
        <v>0.307619047619048</v>
      </c>
      <c r="K87" s="0" t="n">
        <f aca="false">F87/366</f>
        <v>0.729508196721312</v>
      </c>
      <c r="L87" s="2"/>
      <c r="M87" s="5" t="n">
        <v>90</v>
      </c>
      <c r="N87" s="5" t="n">
        <f aca="false">(Q87/PI())*-180</f>
        <v>-45.5437915538738</v>
      </c>
      <c r="O87" s="5"/>
      <c r="P87" s="2" t="n">
        <f aca="false">SQRT(C87^2+D87^2)</f>
        <v>261.979331245807</v>
      </c>
      <c r="Q87" s="2" t="n">
        <f aca="false">ATAN(F87/P87)</f>
        <v>0.794889116457082</v>
      </c>
    </row>
    <row r="88" customFormat="false" ht="15.75" hidden="false" customHeight="false" outlineLevel="0" collapsed="false">
      <c r="B88" s="1" t="s">
        <v>99</v>
      </c>
      <c r="C88" s="9" t="n">
        <v>-243.4</v>
      </c>
      <c r="D88" s="1" t="n">
        <v>-0.2</v>
      </c>
      <c r="E88" s="1" t="n">
        <v>198</v>
      </c>
      <c r="F88" s="0" t="n">
        <f aca="false">E88+69</f>
        <v>267</v>
      </c>
      <c r="G88" s="2"/>
      <c r="H88" s="2" t="n">
        <v>87</v>
      </c>
      <c r="I88" s="2" t="n">
        <f aca="false">C88/248.3</f>
        <v>-0.980265807490938</v>
      </c>
      <c r="J88" s="2" t="n">
        <f aca="false">D88/315</f>
        <v>-0.000634920634920635</v>
      </c>
      <c r="K88" s="0" t="n">
        <f aca="false">F88/366</f>
        <v>0.729508196721312</v>
      </c>
      <c r="L88" s="2"/>
      <c r="M88" s="5" t="n">
        <v>90</v>
      </c>
      <c r="N88" s="5" t="n">
        <f aca="false">(Q88/PI())*-180</f>
        <v>-47.6473610362421</v>
      </c>
      <c r="O88" s="5"/>
      <c r="P88" s="2" t="n">
        <f aca="false">SQRT(C88^2+D88^2)</f>
        <v>243.400082169255</v>
      </c>
      <c r="Q88" s="2" t="n">
        <f aca="false">ATAN(F88/P88)</f>
        <v>0.831603329968882</v>
      </c>
    </row>
    <row r="89" customFormat="false" ht="15.75" hidden="false" customHeight="false" outlineLevel="0" collapsed="false">
      <c r="B89" s="1" t="s">
        <v>100</v>
      </c>
      <c r="C89" s="9" t="n">
        <v>-243.4</v>
      </c>
      <c r="D89" s="1" t="n">
        <v>-100.4</v>
      </c>
      <c r="E89" s="1" t="n">
        <v>198</v>
      </c>
      <c r="F89" s="0" t="n">
        <f aca="false">E89+69</f>
        <v>267</v>
      </c>
      <c r="G89" s="2"/>
      <c r="H89" s="2" t="n">
        <v>88</v>
      </c>
      <c r="I89" s="2" t="n">
        <f aca="false">C89/248.3</f>
        <v>-0.980265807490938</v>
      </c>
      <c r="J89" s="2" t="n">
        <f aca="false">D89/315</f>
        <v>-0.318730158730159</v>
      </c>
      <c r="K89" s="0" t="n">
        <f aca="false">F89/366</f>
        <v>0.729508196721312</v>
      </c>
      <c r="L89" s="2"/>
      <c r="M89" s="5" t="n">
        <v>90</v>
      </c>
      <c r="N89" s="5" t="n">
        <f aca="false">(Q89/PI())*-180</f>
        <v>-45.4004115556158</v>
      </c>
      <c r="O89" s="5"/>
      <c r="P89" s="2" t="n">
        <f aca="false">SQRT(C89^2+D89^2)</f>
        <v>263.293980181849</v>
      </c>
      <c r="Q89" s="2" t="n">
        <f aca="false">ATAN(F89/P89)</f>
        <v>0.792386663405977</v>
      </c>
    </row>
    <row r="90" customFormat="false" ht="15.75" hidden="false" customHeight="false" outlineLevel="0" collapsed="false">
      <c r="B90" s="1" t="s">
        <v>101</v>
      </c>
      <c r="C90" s="9" t="n">
        <v>-243.4</v>
      </c>
      <c r="D90" s="1" t="n">
        <v>-200.5</v>
      </c>
      <c r="E90" s="1" t="n">
        <v>198</v>
      </c>
      <c r="F90" s="0" t="n">
        <f aca="false">E90+69</f>
        <v>267</v>
      </c>
      <c r="G90" s="2"/>
      <c r="H90" s="2" t="n">
        <v>89</v>
      </c>
      <c r="I90" s="2" t="n">
        <f aca="false">C90/248.3</f>
        <v>-0.980265807490938</v>
      </c>
      <c r="J90" s="2" t="n">
        <f aca="false">D90/315</f>
        <v>-0.636507936507937</v>
      </c>
      <c r="K90" s="0" t="n">
        <f aca="false">F90/366</f>
        <v>0.729508196721312</v>
      </c>
      <c r="L90" s="2"/>
      <c r="M90" s="5" t="n">
        <v>90</v>
      </c>
      <c r="N90" s="5" t="n">
        <f aca="false">(Q90/PI())*-180</f>
        <v>-40.2541223855504</v>
      </c>
      <c r="O90" s="5"/>
      <c r="P90" s="2" t="n">
        <f aca="false">SQRT(C90^2+D90^2)</f>
        <v>315.34712619588</v>
      </c>
      <c r="Q90" s="2" t="n">
        <f aca="false">ATAN(F90/P90)</f>
        <v>0.702566973128609</v>
      </c>
    </row>
    <row r="91" customFormat="false" ht="15.75" hidden="false" customHeight="false" outlineLevel="0" collapsed="false">
      <c r="B91" s="1" t="s">
        <v>102</v>
      </c>
      <c r="C91" s="1" t="n">
        <v>-208.9</v>
      </c>
      <c r="D91" s="6" t="n">
        <v>-291.8</v>
      </c>
      <c r="E91" s="1" t="n">
        <v>198</v>
      </c>
      <c r="F91" s="0" t="n">
        <f aca="false">E91+69</f>
        <v>267</v>
      </c>
      <c r="G91" s="2"/>
      <c r="H91" s="2" t="n">
        <v>90</v>
      </c>
      <c r="I91" s="2" t="n">
        <f aca="false">C91/248.3</f>
        <v>-0.841320982682239</v>
      </c>
      <c r="J91" s="2" t="n">
        <f aca="false">D91/315</f>
        <v>-0.926349206349206</v>
      </c>
      <c r="K91" s="0" t="n">
        <f aca="false">F91/366</f>
        <v>0.729508196721312</v>
      </c>
      <c r="L91" s="2"/>
      <c r="M91" s="5" t="n">
        <v>0</v>
      </c>
      <c r="N91" s="5" t="n">
        <f aca="false">(Q91/PI())*-180</f>
        <v>-36.6494521634953</v>
      </c>
      <c r="O91" s="5"/>
      <c r="P91" s="2" t="n">
        <f aca="false">SQRT(C91^2+D91^2)</f>
        <v>358.868290602555</v>
      </c>
      <c r="Q91" s="2" t="n">
        <f aca="false">ATAN(F91/P91)</f>
        <v>0.639653609305153</v>
      </c>
    </row>
    <row r="92" customFormat="false" ht="15.75" hidden="false" customHeight="false" outlineLevel="0" collapsed="false">
      <c r="B92" s="1" t="s">
        <v>103</v>
      </c>
      <c r="C92" s="1" t="n">
        <v>-104.7</v>
      </c>
      <c r="D92" s="6" t="n">
        <v>-291.8</v>
      </c>
      <c r="E92" s="1" t="n">
        <v>198</v>
      </c>
      <c r="F92" s="0" t="n">
        <f aca="false">E92+69</f>
        <v>267</v>
      </c>
      <c r="G92" s="2"/>
      <c r="H92" s="2" t="n">
        <v>91</v>
      </c>
      <c r="I92" s="2" t="n">
        <f aca="false">C92/248.3</f>
        <v>-0.421667337897704</v>
      </c>
      <c r="J92" s="2" t="n">
        <f aca="false">D92/315</f>
        <v>-0.926349206349206</v>
      </c>
      <c r="K92" s="0" t="n">
        <f aca="false">F92/366</f>
        <v>0.729508196721312</v>
      </c>
      <c r="L92" s="2"/>
      <c r="M92" s="5" t="n">
        <v>0</v>
      </c>
      <c r="N92" s="5" t="n">
        <f aca="false">(Q92/PI())*-180</f>
        <v>-40.7366270103348</v>
      </c>
      <c r="O92" s="5"/>
      <c r="P92" s="2" t="n">
        <f aca="false">SQRT(C92^2+D92^2)</f>
        <v>310.015048021866</v>
      </c>
      <c r="Q92" s="2" t="n">
        <f aca="false">ATAN(F92/P92)</f>
        <v>0.710988267487196</v>
      </c>
    </row>
    <row r="93" customFormat="false" ht="15.75" hidden="false" customHeight="false" outlineLevel="0" collapsed="false">
      <c r="B93" s="1" t="s">
        <v>104</v>
      </c>
      <c r="C93" s="1" t="n">
        <v>-7.6</v>
      </c>
      <c r="D93" s="6" t="n">
        <v>-291.8</v>
      </c>
      <c r="E93" s="1" t="n">
        <v>198</v>
      </c>
      <c r="F93" s="0" t="n">
        <f aca="false">E93+69</f>
        <v>267</v>
      </c>
      <c r="G93" s="2"/>
      <c r="H93" s="2" t="n">
        <v>92</v>
      </c>
      <c r="I93" s="2" t="n">
        <f aca="false">C93/248.3</f>
        <v>-0.0306081353201772</v>
      </c>
      <c r="J93" s="2" t="n">
        <f aca="false">D93/315</f>
        <v>-0.926349206349206</v>
      </c>
      <c r="K93" s="0" t="n">
        <f aca="false">F93/366</f>
        <v>0.729508196721312</v>
      </c>
      <c r="L93" s="2"/>
      <c r="M93" s="5" t="n">
        <v>0</v>
      </c>
      <c r="N93" s="5" t="n">
        <f aca="false">(Q93/PI())*-180</f>
        <v>-42.4491590011884</v>
      </c>
      <c r="O93" s="5"/>
      <c r="P93" s="2" t="n">
        <f aca="false">SQRT(C93^2+D93^2)</f>
        <v>291.898955119747</v>
      </c>
      <c r="Q93" s="2" t="n">
        <f aca="false">ATAN(F93/P93)</f>
        <v>0.740877589273326</v>
      </c>
    </row>
    <row r="94" customFormat="false" ht="15.75" hidden="false" customHeight="false" outlineLevel="0" collapsed="false">
      <c r="B94" s="1" t="s">
        <v>105</v>
      </c>
      <c r="C94" s="1" t="n">
        <v>92.5</v>
      </c>
      <c r="D94" s="6" t="n">
        <v>-291.8</v>
      </c>
      <c r="E94" s="1" t="n">
        <v>198</v>
      </c>
      <c r="F94" s="0" t="n">
        <f aca="false">E94+69</f>
        <v>267</v>
      </c>
      <c r="G94" s="2"/>
      <c r="H94" s="2" t="n">
        <v>93</v>
      </c>
      <c r="I94" s="2" t="n">
        <f aca="false">C94/248.3</f>
        <v>0.372533225936367</v>
      </c>
      <c r="J94" s="2" t="n">
        <f aca="false">D94/315</f>
        <v>-0.926349206349206</v>
      </c>
      <c r="K94" s="0" t="n">
        <f aca="false">F94/366</f>
        <v>0.729508196721312</v>
      </c>
      <c r="L94" s="2"/>
      <c r="M94" s="5" t="n">
        <v>0</v>
      </c>
      <c r="N94" s="5" t="n">
        <f aca="false">(Q94/PI())*-180</f>
        <v>-41.096067326825</v>
      </c>
      <c r="O94" s="5"/>
      <c r="P94" s="2" t="n">
        <f aca="false">SQRT(C94^2+D94^2)</f>
        <v>306.110257913713</v>
      </c>
      <c r="Q94" s="2" t="n">
        <f aca="false">ATAN(F94/P94)</f>
        <v>0.717261684474361</v>
      </c>
    </row>
    <row r="95" customFormat="false" ht="15.75" hidden="false" customHeight="false" outlineLevel="0" collapsed="false">
      <c r="B95" s="1" t="s">
        <v>106</v>
      </c>
      <c r="C95" s="1" t="n">
        <v>192.6</v>
      </c>
      <c r="D95" s="6" t="n">
        <v>-291.8</v>
      </c>
      <c r="E95" s="1" t="n">
        <v>198</v>
      </c>
      <c r="F95" s="0" t="n">
        <f aca="false">E95+69</f>
        <v>267</v>
      </c>
      <c r="G95" s="2"/>
      <c r="H95" s="2" t="n">
        <v>94</v>
      </c>
      <c r="I95" s="2" t="n">
        <f aca="false">C95/248.3</f>
        <v>0.775674587192912</v>
      </c>
      <c r="J95" s="2" t="n">
        <f aca="false">D95/315</f>
        <v>-0.926349206349206</v>
      </c>
      <c r="K95" s="0" t="n">
        <f aca="false">F95/366</f>
        <v>0.729508196721312</v>
      </c>
      <c r="L95" s="2"/>
      <c r="M95" s="5" t="n">
        <v>0</v>
      </c>
      <c r="N95" s="5" t="n">
        <f aca="false">(Q95/PI())*-180</f>
        <v>-37.367588139813</v>
      </c>
      <c r="O95" s="5"/>
      <c r="P95" s="2" t="n">
        <f aca="false">SQRT(C95^2+D95^2)</f>
        <v>349.631234302658</v>
      </c>
      <c r="Q95" s="2" t="n">
        <f aca="false">ATAN(F95/P95)</f>
        <v>0.65218744656892</v>
      </c>
    </row>
    <row r="96" customFormat="false" ht="15.75" hidden="false" customHeight="false" outlineLevel="0" collapsed="false">
      <c r="B96" s="1" t="s">
        <v>107</v>
      </c>
      <c r="C96" s="7" t="n">
        <v>241.4</v>
      </c>
      <c r="D96" s="1" t="n">
        <v>-201.5</v>
      </c>
      <c r="E96" s="1" t="n">
        <v>198</v>
      </c>
      <c r="F96" s="0" t="n">
        <f aca="false">E96+69</f>
        <v>267</v>
      </c>
      <c r="G96" s="2"/>
      <c r="H96" s="2" t="n">
        <v>95</v>
      </c>
      <c r="I96" s="2" t="n">
        <f aca="false">C96/248.3</f>
        <v>0.97221103503826</v>
      </c>
      <c r="J96" s="2" t="n">
        <f aca="false">D96/315</f>
        <v>-0.63968253968254</v>
      </c>
      <c r="K96" s="0" t="n">
        <f aca="false">F96/366</f>
        <v>0.729508196721312</v>
      </c>
      <c r="L96" s="2"/>
      <c r="M96" s="5" t="n">
        <v>270</v>
      </c>
      <c r="N96" s="5" t="n">
        <f aca="false">(Q96/PI())*-180</f>
        <v>-40.3350104999826</v>
      </c>
      <c r="O96" s="5"/>
      <c r="P96" s="2" t="n">
        <f aca="false">SQRT(C96^2+D96^2)</f>
        <v>314.445877695988</v>
      </c>
      <c r="Q96" s="2" t="n">
        <f aca="false">ATAN(F96/P96)</f>
        <v>0.70397873705118</v>
      </c>
    </row>
    <row r="97" customFormat="false" ht="15.75" hidden="false" customHeight="false" outlineLevel="0" collapsed="false">
      <c r="B97" s="1" t="s">
        <v>108</v>
      </c>
      <c r="C97" s="7" t="n">
        <v>241.4</v>
      </c>
      <c r="D97" s="1" t="n">
        <v>-97.4</v>
      </c>
      <c r="E97" s="1" t="n">
        <v>198</v>
      </c>
      <c r="F97" s="0" t="n">
        <f aca="false">E97+69</f>
        <v>267</v>
      </c>
      <c r="G97" s="2"/>
      <c r="H97" s="2" t="n">
        <v>96</v>
      </c>
      <c r="I97" s="2" t="n">
        <f aca="false">C97/248.3</f>
        <v>0.97221103503826</v>
      </c>
      <c r="J97" s="2" t="n">
        <f aca="false">D97/315</f>
        <v>-0.309206349206349</v>
      </c>
      <c r="K97" s="0" t="n">
        <f aca="false">F97/366</f>
        <v>0.729508196721312</v>
      </c>
      <c r="L97" s="2"/>
      <c r="M97" s="5" t="n">
        <v>270</v>
      </c>
      <c r="N97" s="5" t="n">
        <f aca="false">(Q97/PI())*-180</f>
        <v>-45.7269962581041</v>
      </c>
      <c r="O97" s="5"/>
      <c r="P97" s="2" t="n">
        <f aca="false">SQRT(C97^2+D97^2)</f>
        <v>260.308893432399</v>
      </c>
      <c r="Q97" s="2" t="n">
        <f aca="false">ATAN(F97/P97)</f>
        <v>0.798086641751043</v>
      </c>
    </row>
    <row r="98" customFormat="false" ht="15.75" hidden="false" customHeight="false" outlineLevel="0" collapsed="false">
      <c r="B98" s="1" t="s">
        <v>109</v>
      </c>
      <c r="C98" s="7" t="n">
        <v>241.4</v>
      </c>
      <c r="D98" s="1" t="n">
        <v>-0.2</v>
      </c>
      <c r="E98" s="1" t="n">
        <v>198</v>
      </c>
      <c r="F98" s="0" t="n">
        <f aca="false">E98+69</f>
        <v>267</v>
      </c>
      <c r="G98" s="2"/>
      <c r="H98" s="2" t="n">
        <v>97</v>
      </c>
      <c r="I98" s="2" t="n">
        <f aca="false">C98/248.3</f>
        <v>0.97221103503826</v>
      </c>
      <c r="J98" s="2" t="n">
        <f aca="false">D98/315</f>
        <v>-0.000634920634920635</v>
      </c>
      <c r="K98" s="0" t="n">
        <f aca="false">F98/366</f>
        <v>0.729508196721312</v>
      </c>
      <c r="L98" s="2"/>
      <c r="M98" s="5" t="n">
        <v>270</v>
      </c>
      <c r="N98" s="5" t="n">
        <f aca="false">(Q98/PI())*-180</f>
        <v>-47.8826301789991</v>
      </c>
      <c r="O98" s="5"/>
      <c r="P98" s="2" t="n">
        <f aca="false">SQRT(C98^2+D98^2)</f>
        <v>241.400082850027</v>
      </c>
      <c r="Q98" s="2" t="n">
        <f aca="false">ATAN(F98/P98)</f>
        <v>0.835709551138336</v>
      </c>
    </row>
    <row r="99" customFormat="false" ht="15.75" hidden="false" customHeight="false" outlineLevel="0" collapsed="false">
      <c r="B99" s="1" t="s">
        <v>110</v>
      </c>
      <c r="C99" s="7" t="n">
        <v>241.4</v>
      </c>
      <c r="D99" s="1" t="n">
        <v>99.9</v>
      </c>
      <c r="E99" s="1" t="n">
        <v>198</v>
      </c>
      <c r="F99" s="0" t="n">
        <f aca="false">E99+69</f>
        <v>267</v>
      </c>
      <c r="G99" s="2"/>
      <c r="H99" s="2" t="n">
        <v>98</v>
      </c>
      <c r="I99" s="2" t="n">
        <f aca="false">C99/248.3</f>
        <v>0.97221103503826</v>
      </c>
      <c r="J99" s="2" t="n">
        <f aca="false">D99/315</f>
        <v>0.317142857142857</v>
      </c>
      <c r="K99" s="0" t="n">
        <f aca="false">F99/366</f>
        <v>0.729508196721312</v>
      </c>
      <c r="L99" s="2"/>
      <c r="M99" s="5" t="n">
        <v>270</v>
      </c>
      <c r="N99" s="5" t="n">
        <f aca="false">(Q99/PI())*-180</f>
        <v>-45.6231346617996</v>
      </c>
      <c r="O99" s="5"/>
      <c r="P99" s="2" t="n">
        <f aca="false">SQRT(C99^2+D99^2)</f>
        <v>261.254607614871</v>
      </c>
      <c r="Q99" s="2" t="n">
        <f aca="false">ATAN(F99/P99)</f>
        <v>0.796273914929152</v>
      </c>
    </row>
    <row r="100" customFormat="false" ht="15.75" hidden="false" customHeight="false" outlineLevel="0" collapsed="false">
      <c r="B100" s="1" t="s">
        <v>111</v>
      </c>
      <c r="C100" s="7" t="n">
        <v>241.4</v>
      </c>
      <c r="D100" s="1" t="n">
        <v>200</v>
      </c>
      <c r="E100" s="1" t="n">
        <v>198</v>
      </c>
      <c r="F100" s="0" t="n">
        <f aca="false">E100+69</f>
        <v>267</v>
      </c>
      <c r="G100" s="2"/>
      <c r="H100" s="2" t="n">
        <v>99</v>
      </c>
      <c r="I100" s="2" t="n">
        <f aca="false">C100/248.3</f>
        <v>0.97221103503826</v>
      </c>
      <c r="J100" s="2" t="n">
        <f aca="false">D100/315</f>
        <v>0.634920634920635</v>
      </c>
      <c r="K100" s="0" t="n">
        <f aca="false">F100/366</f>
        <v>0.729508196721312</v>
      </c>
      <c r="L100" s="2"/>
      <c r="M100" s="5" t="n">
        <v>270</v>
      </c>
      <c r="N100" s="5" t="n">
        <f aca="false">(Q100/PI())*-180</f>
        <v>-40.4213872612776</v>
      </c>
      <c r="O100" s="5"/>
      <c r="P100" s="2" t="n">
        <f aca="false">SQRT(C100^2+D100^2)</f>
        <v>313.486778030589</v>
      </c>
      <c r="Q100" s="2" t="n">
        <f aca="false">ATAN(F100/P100)</f>
        <v>0.705486295932987</v>
      </c>
    </row>
    <row r="101" customFormat="false" ht="15.75" hidden="false" customHeight="false" outlineLevel="0" collapsed="false">
      <c r="B101" s="1" t="s">
        <v>112</v>
      </c>
      <c r="C101" s="1" t="n">
        <v>203.8</v>
      </c>
      <c r="D101" s="10" t="n">
        <v>290.4</v>
      </c>
      <c r="E101" s="1" t="n">
        <v>198</v>
      </c>
      <c r="F101" s="0" t="n">
        <f aca="false">E101+69</f>
        <v>267</v>
      </c>
      <c r="G101" s="2"/>
      <c r="H101" s="2" t="n">
        <v>100</v>
      </c>
      <c r="I101" s="2" t="n">
        <f aca="false">C101/248.3</f>
        <v>0.82078131292791</v>
      </c>
      <c r="J101" s="2" t="n">
        <f aca="false">D101/315</f>
        <v>0.921904761904762</v>
      </c>
      <c r="K101" s="0" t="n">
        <f aca="false">F101/366</f>
        <v>0.729508196721312</v>
      </c>
      <c r="L101" s="2"/>
      <c r="M101" s="5" t="n">
        <v>180</v>
      </c>
      <c r="N101" s="5" t="n">
        <f aca="false">(Q101/PI())*-180</f>
        <v>-36.9645989358233</v>
      </c>
      <c r="O101" s="5"/>
      <c r="P101" s="2" t="n">
        <f aca="false">SQRT(C101^2+D101^2)</f>
        <v>354.776831261569</v>
      </c>
      <c r="Q101" s="2" t="n">
        <f aca="false">ATAN(F101/P101)</f>
        <v>0.645153958109309</v>
      </c>
    </row>
    <row r="102" customFormat="false" ht="15.75" hidden="false" customHeight="false" outlineLevel="0" collapsed="false">
      <c r="B102" s="1" t="s">
        <v>113</v>
      </c>
      <c r="C102" s="1" t="n">
        <v>104.7</v>
      </c>
      <c r="D102" s="10" t="n">
        <v>290.4</v>
      </c>
      <c r="E102" s="1" t="n">
        <v>198</v>
      </c>
      <c r="F102" s="0" t="n">
        <f aca="false">E102+69</f>
        <v>267</v>
      </c>
      <c r="G102" s="2"/>
      <c r="H102" s="2" t="n">
        <v>101</v>
      </c>
      <c r="I102" s="2" t="n">
        <f aca="false">C102/248.3</f>
        <v>0.421667337897704</v>
      </c>
      <c r="J102" s="2" t="n">
        <f aca="false">D102/315</f>
        <v>0.921904761904762</v>
      </c>
      <c r="K102" s="0" t="n">
        <f aca="false">F102/366</f>
        <v>0.729508196721312</v>
      </c>
      <c r="L102" s="2"/>
      <c r="M102" s="5" t="n">
        <v>180</v>
      </c>
      <c r="N102" s="5" t="n">
        <f aca="false">(Q102/PI())*-180</f>
        <v>-40.8573122574732</v>
      </c>
      <c r="O102" s="5"/>
      <c r="P102" s="2" t="n">
        <f aca="false">SQRT(C102^2+D102^2)</f>
        <v>308.697667629673</v>
      </c>
      <c r="Q102" s="2" t="n">
        <f aca="false">ATAN(F102/P102)</f>
        <v>0.713094622408344</v>
      </c>
    </row>
    <row r="103" customFormat="false" ht="15.75" hidden="false" customHeight="false" outlineLevel="0" collapsed="false">
      <c r="B103" s="1" t="s">
        <v>114</v>
      </c>
      <c r="C103" s="1" t="n">
        <v>0.6</v>
      </c>
      <c r="D103" s="10" t="n">
        <v>290.4</v>
      </c>
      <c r="E103" s="1" t="n">
        <v>198</v>
      </c>
      <c r="F103" s="0" t="n">
        <f aca="false">E103+69</f>
        <v>267</v>
      </c>
      <c r="G103" s="2"/>
      <c r="H103" s="2" t="n">
        <v>102</v>
      </c>
      <c r="I103" s="2" t="n">
        <f aca="false">C103/248.3</f>
        <v>0.00241643173580346</v>
      </c>
      <c r="J103" s="2" t="n">
        <f aca="false">D103/315</f>
        <v>0.921904761904762</v>
      </c>
      <c r="K103" s="0" t="n">
        <f aca="false">F103/366</f>
        <v>0.729508196721312</v>
      </c>
      <c r="L103" s="2"/>
      <c r="M103" s="5" t="n">
        <v>180</v>
      </c>
      <c r="N103" s="5" t="n">
        <f aca="false">(Q103/PI())*-180</f>
        <v>-42.5960380003614</v>
      </c>
      <c r="O103" s="5"/>
      <c r="P103" s="2" t="n">
        <f aca="false">SQRT(C103^2+D103^2)</f>
        <v>290.400619834049</v>
      </c>
      <c r="Q103" s="2" t="n">
        <f aca="false">ATAN(F103/P103)</f>
        <v>0.743441111410927</v>
      </c>
    </row>
    <row r="104" customFormat="false" ht="15.75" hidden="false" customHeight="false" outlineLevel="0" collapsed="false">
      <c r="B104" s="1" t="s">
        <v>115</v>
      </c>
      <c r="C104" s="1" t="n">
        <v>-99.5</v>
      </c>
      <c r="D104" s="10" t="n">
        <v>290.4</v>
      </c>
      <c r="E104" s="1" t="n">
        <v>198</v>
      </c>
      <c r="F104" s="0" t="n">
        <f aca="false">E104+69</f>
        <v>267</v>
      </c>
      <c r="G104" s="2"/>
      <c r="H104" s="2" t="n">
        <v>103</v>
      </c>
      <c r="I104" s="2" t="n">
        <f aca="false">C104/248.3</f>
        <v>-0.400724929520741</v>
      </c>
      <c r="J104" s="2" t="n">
        <f aca="false">D104/315</f>
        <v>0.921904761904762</v>
      </c>
      <c r="K104" s="0" t="n">
        <f aca="false">F104/366</f>
        <v>0.729508196721312</v>
      </c>
      <c r="L104" s="2"/>
      <c r="M104" s="5" t="n">
        <v>180</v>
      </c>
      <c r="N104" s="5" t="n">
        <f aca="false">(Q104/PI())*-180</f>
        <v>-41.0162043664289</v>
      </c>
      <c r="O104" s="5"/>
      <c r="P104" s="2" t="n">
        <f aca="false">SQRT(C104^2+D104^2)</f>
        <v>306.972979266906</v>
      </c>
      <c r="Q104" s="2" t="n">
        <f aca="false">ATAN(F104/P104)</f>
        <v>0.715867812865059</v>
      </c>
    </row>
    <row r="105" customFormat="false" ht="15.75" hidden="false" customHeight="false" outlineLevel="0" collapsed="false">
      <c r="B105" s="1" t="s">
        <v>116</v>
      </c>
      <c r="C105" s="1" t="n">
        <v>-199.7</v>
      </c>
      <c r="D105" s="10" t="n">
        <v>290.4</v>
      </c>
      <c r="E105" s="1" t="n">
        <v>198</v>
      </c>
      <c r="F105" s="0" t="n">
        <f aca="false">E105+69</f>
        <v>267</v>
      </c>
      <c r="G105" s="2"/>
      <c r="H105" s="2" t="n">
        <v>104</v>
      </c>
      <c r="I105" s="2" t="n">
        <f aca="false">C105/248.3</f>
        <v>-0.804269029399919</v>
      </c>
      <c r="J105" s="2" t="n">
        <f aca="false">D105/315</f>
        <v>0.921904761904762</v>
      </c>
      <c r="K105" s="0" t="n">
        <f aca="false">F105/366</f>
        <v>0.729508196721312</v>
      </c>
      <c r="L105" s="2"/>
      <c r="M105" s="5" t="n">
        <v>180</v>
      </c>
      <c r="N105" s="5" t="n">
        <f aca="false">(Q105/PI())*-180</f>
        <v>-37.1468758175585</v>
      </c>
      <c r="O105" s="5"/>
      <c r="P105" s="2" t="n">
        <f aca="false">SQRT(C105^2+D105^2)</f>
        <v>352.437583126431</v>
      </c>
      <c r="Q105" s="2" t="n">
        <f aca="false">ATAN(F105/P105)</f>
        <v>0.648335289845856</v>
      </c>
    </row>
    <row r="106" customFormat="false" ht="15.75" hidden="false" customHeight="false" outlineLevel="0" collapsed="false">
      <c r="A106" s="2" t="s">
        <v>117</v>
      </c>
      <c r="B106" s="1" t="s">
        <v>118</v>
      </c>
      <c r="C106" s="1" t="n">
        <v>-132</v>
      </c>
      <c r="D106" s="1" t="n">
        <v>228.1</v>
      </c>
      <c r="E106" s="1" t="n">
        <v>297</v>
      </c>
      <c r="F106" s="0" t="n">
        <f aca="false">E106+69</f>
        <v>366</v>
      </c>
      <c r="G106" s="2"/>
      <c r="H106" s="2" t="n">
        <v>105</v>
      </c>
      <c r="I106" s="2" t="n">
        <f aca="false">C106/248.3</f>
        <v>-0.531614981876762</v>
      </c>
      <c r="J106" s="2" t="n">
        <f aca="false">D106/315</f>
        <v>0.724126984126984</v>
      </c>
      <c r="K106" s="0" t="n">
        <f aca="false">F106/366</f>
        <v>1</v>
      </c>
      <c r="L106" s="2"/>
      <c r="M106" s="5" t="n">
        <v>0</v>
      </c>
      <c r="N106" s="5" t="n">
        <v>-90</v>
      </c>
      <c r="O106" s="5"/>
      <c r="P106" s="2" t="n">
        <f aca="false">SQRT(C106^2+D106^2)</f>
        <v>263.540528192534</v>
      </c>
    </row>
    <row r="107" customFormat="false" ht="15.75" hidden="false" customHeight="false" outlineLevel="0" collapsed="false">
      <c r="B107" s="1" t="s">
        <v>119</v>
      </c>
      <c r="C107" s="1" t="n">
        <v>-36</v>
      </c>
      <c r="D107" s="1" t="n">
        <v>228.1</v>
      </c>
      <c r="E107" s="1" t="n">
        <v>297</v>
      </c>
      <c r="F107" s="0" t="n">
        <f aca="false">E107+69</f>
        <v>366</v>
      </c>
      <c r="G107" s="2"/>
      <c r="H107" s="2" t="n">
        <v>106</v>
      </c>
      <c r="I107" s="2" t="n">
        <f aca="false">C107/248.3</f>
        <v>-0.144985904148208</v>
      </c>
      <c r="J107" s="2" t="n">
        <f aca="false">D107/315</f>
        <v>0.724126984126984</v>
      </c>
      <c r="K107" s="0" t="n">
        <f aca="false">F107/366</f>
        <v>1</v>
      </c>
      <c r="L107" s="2"/>
      <c r="M107" s="5" t="n">
        <v>0</v>
      </c>
      <c r="N107" s="5" t="n">
        <v>-90</v>
      </c>
      <c r="O107" s="5"/>
      <c r="P107" s="2" t="n">
        <f aca="false">SQRT(C107^2+D107^2)</f>
        <v>230.923385563264</v>
      </c>
    </row>
    <row r="108" customFormat="false" ht="15.75" hidden="false" customHeight="false" outlineLevel="0" collapsed="false">
      <c r="B108" s="1" t="s">
        <v>120</v>
      </c>
      <c r="C108" s="1" t="n">
        <v>36</v>
      </c>
      <c r="D108" s="1" t="n">
        <v>228.1</v>
      </c>
      <c r="E108" s="1" t="n">
        <v>297</v>
      </c>
      <c r="F108" s="0" t="n">
        <f aca="false">E108+69</f>
        <v>366</v>
      </c>
      <c r="G108" s="2"/>
      <c r="H108" s="2" t="n">
        <v>107</v>
      </c>
      <c r="I108" s="2" t="n">
        <f aca="false">C108/248.3</f>
        <v>0.144985904148208</v>
      </c>
      <c r="J108" s="2" t="n">
        <f aca="false">D108/315</f>
        <v>0.724126984126984</v>
      </c>
      <c r="K108" s="0" t="n">
        <f aca="false">F108/366</f>
        <v>1</v>
      </c>
      <c r="L108" s="2"/>
      <c r="M108" s="5" t="n">
        <v>0</v>
      </c>
      <c r="N108" s="5" t="n">
        <v>-90</v>
      </c>
      <c r="O108" s="5"/>
      <c r="P108" s="2" t="n">
        <f aca="false">SQRT(C108^2+D108^2)</f>
        <v>230.923385563264</v>
      </c>
    </row>
    <row r="109" customFormat="false" ht="15.75" hidden="false" customHeight="false" outlineLevel="0" collapsed="false">
      <c r="B109" s="1" t="s">
        <v>121</v>
      </c>
      <c r="C109" s="1" t="n">
        <v>132</v>
      </c>
      <c r="D109" s="1" t="n">
        <v>228.1</v>
      </c>
      <c r="E109" s="1" t="n">
        <v>297</v>
      </c>
      <c r="F109" s="0" t="n">
        <f aca="false">E109+69</f>
        <v>366</v>
      </c>
      <c r="G109" s="2"/>
      <c r="H109" s="2" t="n">
        <v>108</v>
      </c>
      <c r="I109" s="2" t="n">
        <f aca="false">C109/248.3</f>
        <v>0.531614981876762</v>
      </c>
      <c r="J109" s="2" t="n">
        <f aca="false">D109/315</f>
        <v>0.724126984126984</v>
      </c>
      <c r="K109" s="0" t="n">
        <f aca="false">F109/366</f>
        <v>1</v>
      </c>
      <c r="L109" s="2"/>
      <c r="M109" s="5" t="n">
        <v>0</v>
      </c>
      <c r="N109" s="5" t="n">
        <v>-90</v>
      </c>
      <c r="O109" s="5"/>
      <c r="P109" s="2" t="n">
        <f aca="false">SQRT(C109^2+D109^2)</f>
        <v>263.540528192534</v>
      </c>
    </row>
    <row r="110" customFormat="false" ht="15.75" hidden="false" customHeight="false" outlineLevel="0" collapsed="false">
      <c r="B110" s="1" t="s">
        <v>122</v>
      </c>
      <c r="C110" s="1" t="n">
        <v>-132</v>
      </c>
      <c r="D110" s="1" t="n">
        <v>114</v>
      </c>
      <c r="E110" s="1" t="n">
        <v>297</v>
      </c>
      <c r="F110" s="0" t="n">
        <f aca="false">E110+69</f>
        <v>366</v>
      </c>
      <c r="G110" s="2"/>
      <c r="H110" s="2" t="n">
        <v>109</v>
      </c>
      <c r="I110" s="2" t="n">
        <f aca="false">C110/248.3</f>
        <v>-0.531614981876762</v>
      </c>
      <c r="J110" s="2" t="n">
        <f aca="false">D110/315</f>
        <v>0.361904761904762</v>
      </c>
      <c r="K110" s="0" t="n">
        <f aca="false">F110/366</f>
        <v>1</v>
      </c>
      <c r="L110" s="2"/>
      <c r="M110" s="5" t="n">
        <v>0</v>
      </c>
      <c r="N110" s="5" t="n">
        <v>-90</v>
      </c>
      <c r="O110" s="5"/>
      <c r="P110" s="2" t="n">
        <f aca="false">SQRT(C110^2+D110^2)</f>
        <v>174.413302244984</v>
      </c>
    </row>
    <row r="111" customFormat="false" ht="15.75" hidden="false" customHeight="false" outlineLevel="0" collapsed="false">
      <c r="B111" s="1" t="s">
        <v>123</v>
      </c>
      <c r="C111" s="1" t="n">
        <v>-36</v>
      </c>
      <c r="D111" s="1" t="n">
        <v>114</v>
      </c>
      <c r="E111" s="1" t="n">
        <v>297</v>
      </c>
      <c r="F111" s="0" t="n">
        <f aca="false">E111+69</f>
        <v>366</v>
      </c>
      <c r="G111" s="2"/>
      <c r="H111" s="2" t="n">
        <v>110</v>
      </c>
      <c r="I111" s="2" t="n">
        <f aca="false">C111/248.3</f>
        <v>-0.144985904148208</v>
      </c>
      <c r="J111" s="2" t="n">
        <f aca="false">D111/315</f>
        <v>0.361904761904762</v>
      </c>
      <c r="K111" s="0" t="n">
        <f aca="false">F111/366</f>
        <v>1</v>
      </c>
      <c r="L111" s="2"/>
      <c r="M111" s="5" t="n">
        <v>0</v>
      </c>
      <c r="N111" s="5" t="n">
        <v>-90</v>
      </c>
      <c r="O111" s="5"/>
      <c r="P111" s="2" t="n">
        <f aca="false">SQRT(C111^2+D111^2)</f>
        <v>119.549153071028</v>
      </c>
    </row>
    <row r="112" customFormat="false" ht="15.75" hidden="false" customHeight="false" outlineLevel="0" collapsed="false">
      <c r="B112" s="1" t="s">
        <v>124</v>
      </c>
      <c r="C112" s="1" t="n">
        <v>36</v>
      </c>
      <c r="D112" s="1" t="n">
        <v>114</v>
      </c>
      <c r="E112" s="1" t="n">
        <v>297</v>
      </c>
      <c r="F112" s="0" t="n">
        <f aca="false">E112+69</f>
        <v>366</v>
      </c>
      <c r="G112" s="2"/>
      <c r="H112" s="2" t="n">
        <v>111</v>
      </c>
      <c r="I112" s="2" t="n">
        <f aca="false">C112/248.3</f>
        <v>0.144985904148208</v>
      </c>
      <c r="J112" s="2" t="n">
        <f aca="false">D112/315</f>
        <v>0.361904761904762</v>
      </c>
      <c r="K112" s="0" t="n">
        <f aca="false">F112/366</f>
        <v>1</v>
      </c>
      <c r="L112" s="2"/>
      <c r="M112" s="5" t="n">
        <v>0</v>
      </c>
      <c r="N112" s="5" t="n">
        <v>-90</v>
      </c>
      <c r="O112" s="5"/>
      <c r="P112" s="2" t="n">
        <f aca="false">SQRT(C112^2+D112^2)</f>
        <v>119.549153071028</v>
      </c>
    </row>
    <row r="113" customFormat="false" ht="15.75" hidden="false" customHeight="false" outlineLevel="0" collapsed="false">
      <c r="B113" s="1" t="s">
        <v>125</v>
      </c>
      <c r="C113" s="1" t="n">
        <v>132</v>
      </c>
      <c r="D113" s="1" t="n">
        <v>114</v>
      </c>
      <c r="E113" s="1" t="n">
        <v>297</v>
      </c>
      <c r="F113" s="0" t="n">
        <f aca="false">E113+69</f>
        <v>366</v>
      </c>
      <c r="G113" s="2"/>
      <c r="H113" s="2" t="n">
        <v>112</v>
      </c>
      <c r="I113" s="2" t="n">
        <f aca="false">C113/248.3</f>
        <v>0.531614981876762</v>
      </c>
      <c r="J113" s="2" t="n">
        <f aca="false">D113/315</f>
        <v>0.361904761904762</v>
      </c>
      <c r="K113" s="0" t="n">
        <f aca="false">F113/366</f>
        <v>1</v>
      </c>
      <c r="L113" s="2"/>
      <c r="M113" s="5" t="n">
        <v>0</v>
      </c>
      <c r="N113" s="5" t="n">
        <v>-90</v>
      </c>
      <c r="O113" s="5"/>
      <c r="P113" s="2" t="n">
        <f aca="false">SQRT(C113^2+D113^2)</f>
        <v>174.413302244984</v>
      </c>
    </row>
    <row r="114" customFormat="false" ht="15.75" hidden="false" customHeight="false" outlineLevel="0" collapsed="false">
      <c r="B114" s="1" t="s">
        <v>126</v>
      </c>
      <c r="C114" s="1" t="n">
        <v>-132</v>
      </c>
      <c r="D114" s="1" t="n">
        <v>-0.4</v>
      </c>
      <c r="E114" s="1" t="n">
        <v>297</v>
      </c>
      <c r="F114" s="0" t="n">
        <f aca="false">E114+69</f>
        <v>366</v>
      </c>
      <c r="G114" s="2"/>
      <c r="H114" s="2" t="n">
        <v>113</v>
      </c>
      <c r="I114" s="2" t="n">
        <f aca="false">C114/248.3</f>
        <v>-0.531614981876762</v>
      </c>
      <c r="J114" s="2" t="n">
        <f aca="false">D114/315</f>
        <v>-0.00126984126984127</v>
      </c>
      <c r="K114" s="0" t="n">
        <f aca="false">F114/366</f>
        <v>1</v>
      </c>
      <c r="L114" s="2"/>
      <c r="M114" s="5" t="n">
        <v>0</v>
      </c>
      <c r="N114" s="5" t="n">
        <v>-90</v>
      </c>
      <c r="O114" s="5"/>
      <c r="P114" s="2" t="n">
        <f aca="false">SQRT(C114^2+D114^2)</f>
        <v>132.000606059215</v>
      </c>
    </row>
    <row r="115" customFormat="false" ht="15.75" hidden="false" customHeight="false" outlineLevel="0" collapsed="false">
      <c r="B115" s="1" t="s">
        <v>127</v>
      </c>
      <c r="C115" s="1" t="n">
        <v>-36</v>
      </c>
      <c r="D115" s="1" t="n">
        <v>-0.4</v>
      </c>
      <c r="E115" s="1" t="n">
        <v>297</v>
      </c>
      <c r="F115" s="0" t="n">
        <f aca="false">E115+69</f>
        <v>366</v>
      </c>
      <c r="G115" s="2"/>
      <c r="H115" s="2" t="n">
        <v>114</v>
      </c>
      <c r="I115" s="2" t="n">
        <f aca="false">C115/248.3</f>
        <v>-0.144985904148208</v>
      </c>
      <c r="J115" s="2" t="n">
        <f aca="false">D115/315</f>
        <v>-0.00126984126984127</v>
      </c>
      <c r="K115" s="0" t="n">
        <f aca="false">F115/366</f>
        <v>1</v>
      </c>
      <c r="L115" s="2"/>
      <c r="M115" s="5" t="n">
        <v>0</v>
      </c>
      <c r="N115" s="5" t="n">
        <v>-90</v>
      </c>
      <c r="O115" s="5"/>
      <c r="P115" s="2" t="n">
        <f aca="false">SQRT(C115^2+D115^2)</f>
        <v>36.0022221536394</v>
      </c>
    </row>
    <row r="116" customFormat="false" ht="15.75" hidden="false" customHeight="false" outlineLevel="0" collapsed="false">
      <c r="B116" s="1" t="s">
        <v>128</v>
      </c>
      <c r="C116" s="1" t="n">
        <v>36</v>
      </c>
      <c r="D116" s="1" t="n">
        <v>-0.4</v>
      </c>
      <c r="E116" s="1" t="n">
        <v>297</v>
      </c>
      <c r="F116" s="0" t="n">
        <f aca="false">E116+69</f>
        <v>366</v>
      </c>
      <c r="G116" s="2"/>
      <c r="H116" s="2" t="n">
        <v>115</v>
      </c>
      <c r="I116" s="2" t="n">
        <f aca="false">C116/248.3</f>
        <v>0.144985904148208</v>
      </c>
      <c r="J116" s="2" t="n">
        <f aca="false">D116/315</f>
        <v>-0.00126984126984127</v>
      </c>
      <c r="K116" s="0" t="n">
        <f aca="false">F116/366</f>
        <v>1</v>
      </c>
      <c r="L116" s="2"/>
      <c r="M116" s="5" t="n">
        <v>0</v>
      </c>
      <c r="N116" s="5" t="n">
        <v>-90</v>
      </c>
      <c r="O116" s="5"/>
      <c r="P116" s="2" t="n">
        <f aca="false">SQRT(C116^2+D116^2)</f>
        <v>36.0022221536394</v>
      </c>
    </row>
    <row r="117" customFormat="false" ht="15.75" hidden="false" customHeight="false" outlineLevel="0" collapsed="false">
      <c r="B117" s="1" t="s">
        <v>129</v>
      </c>
      <c r="C117" s="1" t="n">
        <v>132</v>
      </c>
      <c r="D117" s="1" t="n">
        <v>-0.4</v>
      </c>
      <c r="E117" s="1" t="n">
        <v>297</v>
      </c>
      <c r="F117" s="0" t="n">
        <f aca="false">E117+69</f>
        <v>366</v>
      </c>
      <c r="G117" s="2"/>
      <c r="H117" s="2" t="n">
        <v>116</v>
      </c>
      <c r="I117" s="2" t="n">
        <f aca="false">C117/248.3</f>
        <v>0.531614981876762</v>
      </c>
      <c r="J117" s="2" t="n">
        <f aca="false">D117/315</f>
        <v>-0.00126984126984127</v>
      </c>
      <c r="K117" s="0" t="n">
        <f aca="false">F117/366</f>
        <v>1</v>
      </c>
      <c r="L117" s="2"/>
      <c r="M117" s="5" t="n">
        <v>0</v>
      </c>
      <c r="N117" s="5" t="n">
        <v>-90</v>
      </c>
      <c r="O117" s="5"/>
      <c r="P117" s="2" t="n">
        <f aca="false">SQRT(C117^2+D117^2)</f>
        <v>132.000606059215</v>
      </c>
    </row>
    <row r="118" customFormat="false" ht="15.75" hidden="false" customHeight="false" outlineLevel="0" collapsed="false">
      <c r="B118" s="1" t="s">
        <v>130</v>
      </c>
      <c r="C118" s="1" t="n">
        <v>-132</v>
      </c>
      <c r="D118" s="1" t="n">
        <v>-114</v>
      </c>
      <c r="E118" s="1" t="n">
        <v>297</v>
      </c>
      <c r="F118" s="0" t="n">
        <f aca="false">E118+69</f>
        <v>366</v>
      </c>
      <c r="G118" s="2"/>
      <c r="H118" s="2" t="n">
        <v>117</v>
      </c>
      <c r="I118" s="2" t="n">
        <f aca="false">C118/248.3</f>
        <v>-0.531614981876762</v>
      </c>
      <c r="J118" s="2" t="n">
        <f aca="false">D118/315</f>
        <v>-0.361904761904762</v>
      </c>
      <c r="K118" s="0" t="n">
        <f aca="false">F118/366</f>
        <v>1</v>
      </c>
      <c r="L118" s="2"/>
      <c r="M118" s="5" t="n">
        <v>0</v>
      </c>
      <c r="N118" s="5" t="n">
        <v>-90</v>
      </c>
      <c r="O118" s="5"/>
      <c r="P118" s="2" t="n">
        <f aca="false">SQRT(C118^2+D118^2)</f>
        <v>174.413302244984</v>
      </c>
    </row>
    <row r="119" customFormat="false" ht="15.75" hidden="false" customHeight="false" outlineLevel="0" collapsed="false">
      <c r="B119" s="1" t="s">
        <v>131</v>
      </c>
      <c r="C119" s="1" t="n">
        <v>-36</v>
      </c>
      <c r="D119" s="1" t="n">
        <v>-114</v>
      </c>
      <c r="E119" s="1" t="n">
        <v>297</v>
      </c>
      <c r="F119" s="0" t="n">
        <f aca="false">E119+69</f>
        <v>366</v>
      </c>
      <c r="G119" s="2"/>
      <c r="H119" s="2" t="n">
        <v>118</v>
      </c>
      <c r="I119" s="2" t="n">
        <f aca="false">C119/248.3</f>
        <v>-0.144985904148208</v>
      </c>
      <c r="J119" s="2" t="n">
        <f aca="false">D119/315</f>
        <v>-0.361904761904762</v>
      </c>
      <c r="K119" s="0" t="n">
        <f aca="false">F119/366</f>
        <v>1</v>
      </c>
      <c r="L119" s="2"/>
      <c r="M119" s="5" t="n">
        <v>0</v>
      </c>
      <c r="N119" s="5" t="n">
        <v>-90</v>
      </c>
      <c r="O119" s="5"/>
      <c r="P119" s="2" t="n">
        <f aca="false">SQRT(C119^2+D119^2)</f>
        <v>119.549153071028</v>
      </c>
    </row>
    <row r="120" customFormat="false" ht="15.75" hidden="false" customHeight="false" outlineLevel="0" collapsed="false">
      <c r="B120" s="1" t="s">
        <v>132</v>
      </c>
      <c r="C120" s="1" t="n">
        <v>36</v>
      </c>
      <c r="D120" s="1" t="n">
        <v>-114</v>
      </c>
      <c r="E120" s="1" t="n">
        <v>297</v>
      </c>
      <c r="F120" s="0" t="n">
        <f aca="false">E120+69</f>
        <v>366</v>
      </c>
      <c r="G120" s="2"/>
      <c r="H120" s="2" t="n">
        <v>119</v>
      </c>
      <c r="I120" s="2" t="n">
        <f aca="false">C120/248.3</f>
        <v>0.144985904148208</v>
      </c>
      <c r="J120" s="2" t="n">
        <f aca="false">D120/315</f>
        <v>-0.361904761904762</v>
      </c>
      <c r="K120" s="0" t="n">
        <f aca="false">F120/366</f>
        <v>1</v>
      </c>
      <c r="L120" s="2"/>
      <c r="M120" s="5" t="n">
        <v>0</v>
      </c>
      <c r="N120" s="5" t="n">
        <v>-90</v>
      </c>
      <c r="O120" s="5"/>
      <c r="P120" s="2" t="n">
        <f aca="false">SQRT(C120^2+D120^2)</f>
        <v>119.549153071028</v>
      </c>
    </row>
    <row r="121" customFormat="false" ht="15.75" hidden="false" customHeight="false" outlineLevel="0" collapsed="false">
      <c r="B121" s="1" t="s">
        <v>133</v>
      </c>
      <c r="C121" s="1" t="n">
        <v>132</v>
      </c>
      <c r="D121" s="1" t="n">
        <v>-114</v>
      </c>
      <c r="E121" s="1" t="n">
        <v>297</v>
      </c>
      <c r="F121" s="0" t="n">
        <f aca="false">E121+69</f>
        <v>366</v>
      </c>
      <c r="G121" s="2"/>
      <c r="H121" s="2" t="n">
        <v>120</v>
      </c>
      <c r="I121" s="2" t="n">
        <f aca="false">C121/248.3</f>
        <v>0.531614981876762</v>
      </c>
      <c r="J121" s="2" t="n">
        <f aca="false">D121/315</f>
        <v>-0.361904761904762</v>
      </c>
      <c r="K121" s="0" t="n">
        <f aca="false">F121/366</f>
        <v>1</v>
      </c>
      <c r="L121" s="2"/>
      <c r="M121" s="5" t="n">
        <v>0</v>
      </c>
      <c r="N121" s="5" t="n">
        <v>-90</v>
      </c>
      <c r="O121" s="5"/>
      <c r="P121" s="2" t="n">
        <f aca="false">SQRT(C121^2+D121^2)</f>
        <v>174.413302244984</v>
      </c>
    </row>
    <row r="122" customFormat="false" ht="15.75" hidden="false" customHeight="false" outlineLevel="0" collapsed="false">
      <c r="B122" s="1" t="s">
        <v>134</v>
      </c>
      <c r="C122" s="1" t="n">
        <v>-132</v>
      </c>
      <c r="D122" s="1" t="n">
        <v>-228.8</v>
      </c>
      <c r="E122" s="1" t="n">
        <v>297</v>
      </c>
      <c r="F122" s="0" t="n">
        <f aca="false">E122+69</f>
        <v>366</v>
      </c>
      <c r="G122" s="2"/>
      <c r="H122" s="2" t="n">
        <v>121</v>
      </c>
      <c r="I122" s="2" t="n">
        <f aca="false">C122/248.3</f>
        <v>-0.531614981876762</v>
      </c>
      <c r="J122" s="2" t="n">
        <f aca="false">D122/315</f>
        <v>-0.726349206349206</v>
      </c>
      <c r="K122" s="0" t="n">
        <f aca="false">F122/366</f>
        <v>1</v>
      </c>
      <c r="L122" s="2"/>
      <c r="M122" s="5" t="n">
        <v>0</v>
      </c>
      <c r="N122" s="5" t="n">
        <v>-90</v>
      </c>
      <c r="O122" s="5"/>
      <c r="P122" s="2" t="n">
        <f aca="false">SQRT(C122^2+D122^2)</f>
        <v>264.146625948544</v>
      </c>
    </row>
    <row r="123" customFormat="false" ht="15.75" hidden="false" customHeight="false" outlineLevel="0" collapsed="false">
      <c r="B123" s="1" t="s">
        <v>135</v>
      </c>
      <c r="C123" s="1" t="n">
        <v>-36</v>
      </c>
      <c r="D123" s="1" t="n">
        <v>-228.8</v>
      </c>
      <c r="E123" s="1" t="n">
        <v>297</v>
      </c>
      <c r="F123" s="0" t="n">
        <f aca="false">E123+69</f>
        <v>366</v>
      </c>
      <c r="G123" s="2"/>
      <c r="H123" s="2" t="n">
        <v>122</v>
      </c>
      <c r="I123" s="2" t="n">
        <f aca="false">C123/248.3</f>
        <v>-0.144985904148208</v>
      </c>
      <c r="J123" s="2" t="n">
        <f aca="false">D123/315</f>
        <v>-0.726349206349206</v>
      </c>
      <c r="K123" s="0" t="n">
        <f aca="false">F123/366</f>
        <v>1</v>
      </c>
      <c r="L123" s="2"/>
      <c r="M123" s="5" t="n">
        <v>0</v>
      </c>
      <c r="N123" s="5" t="n">
        <v>-90</v>
      </c>
      <c r="O123" s="5"/>
      <c r="P123" s="2" t="n">
        <f aca="false">SQRT(C123^2+D123^2)</f>
        <v>231.614852718905</v>
      </c>
    </row>
    <row r="124" customFormat="false" ht="15.75" hidden="false" customHeight="false" outlineLevel="0" collapsed="false">
      <c r="B124" s="1" t="s">
        <v>136</v>
      </c>
      <c r="C124" s="1" t="n">
        <v>36</v>
      </c>
      <c r="D124" s="1" t="n">
        <v>-228.8</v>
      </c>
      <c r="E124" s="1" t="n">
        <v>297</v>
      </c>
      <c r="F124" s="0" t="n">
        <f aca="false">E124+69</f>
        <v>366</v>
      </c>
      <c r="G124" s="2"/>
      <c r="H124" s="2" t="n">
        <v>123</v>
      </c>
      <c r="I124" s="2" t="n">
        <f aca="false">C124/248.3</f>
        <v>0.144985904148208</v>
      </c>
      <c r="J124" s="2" t="n">
        <f aca="false">D124/315</f>
        <v>-0.726349206349206</v>
      </c>
      <c r="K124" s="0" t="n">
        <f aca="false">F124/366</f>
        <v>1</v>
      </c>
      <c r="L124" s="2"/>
      <c r="M124" s="5" t="n">
        <v>0</v>
      </c>
      <c r="N124" s="5" t="n">
        <v>-90</v>
      </c>
      <c r="O124" s="5"/>
      <c r="P124" s="2" t="n">
        <f aca="false">SQRT(C124^2+D124^2)</f>
        <v>231.614852718905</v>
      </c>
    </row>
    <row r="125" customFormat="false" ht="15.75" hidden="false" customHeight="false" outlineLevel="0" collapsed="false">
      <c r="B125" s="1" t="s">
        <v>137</v>
      </c>
      <c r="C125" s="1" t="n">
        <v>132</v>
      </c>
      <c r="D125" s="1" t="n">
        <v>-228.8</v>
      </c>
      <c r="E125" s="1" t="n">
        <v>297</v>
      </c>
      <c r="F125" s="0" t="n">
        <f aca="false">E125+69</f>
        <v>366</v>
      </c>
      <c r="G125" s="2"/>
      <c r="H125" s="2" t="n">
        <v>124</v>
      </c>
      <c r="I125" s="2" t="n">
        <f aca="false">C125/248.3</f>
        <v>0.531614981876762</v>
      </c>
      <c r="J125" s="2" t="n">
        <f aca="false">D125/315</f>
        <v>-0.726349206349206</v>
      </c>
      <c r="K125" s="0" t="n">
        <f aca="false">F125/366</f>
        <v>1</v>
      </c>
      <c r="L125" s="2"/>
      <c r="M125" s="5" t="n">
        <v>0</v>
      </c>
      <c r="N125" s="5" t="n">
        <v>-90</v>
      </c>
      <c r="O125" s="5"/>
      <c r="P125" s="2" t="n">
        <f aca="false">SQRT(C125^2+D125^2)</f>
        <v>264.146625948544</v>
      </c>
    </row>
    <row r="126" customFormat="false" ht="15.75" hidden="false" customHeight="false" outlineLevel="0" collapsed="false">
      <c r="A126" s="2" t="s">
        <v>138</v>
      </c>
      <c r="B126" s="11" t="s">
        <v>139</v>
      </c>
      <c r="C126" s="12" t="n">
        <v>-248</v>
      </c>
      <c r="D126" s="12" t="n">
        <v>-161</v>
      </c>
      <c r="E126" s="11" t="n">
        <v>-45</v>
      </c>
      <c r="F126" s="11" t="n">
        <v>32</v>
      </c>
      <c r="G126" s="11"/>
      <c r="H126" s="11" t="n">
        <v>125</v>
      </c>
      <c r="I126" s="11" t="n">
        <f aca="false">C126/248.3</f>
        <v>-0.998791784132098</v>
      </c>
      <c r="J126" s="11" t="n">
        <f aca="false">D126/315</f>
        <v>-0.511111111111111</v>
      </c>
      <c r="K126" s="11" t="n">
        <f aca="false">F126/366</f>
        <v>0.087431693989071</v>
      </c>
      <c r="L126" s="2"/>
      <c r="M126" s="5" t="n">
        <v>90</v>
      </c>
      <c r="N126" s="5" t="n">
        <f aca="false">(Q126/PI())*-180</f>
        <v>-0</v>
      </c>
      <c r="O126" s="5"/>
      <c r="P126" s="2" t="n">
        <f aca="false">SQRT(C126^2+D126^2)</f>
        <v>295.67718883945</v>
      </c>
    </row>
    <row r="127" customFormat="false" ht="15.75" hidden="false" customHeight="false" outlineLevel="0" collapsed="false">
      <c r="B127" s="11" t="s">
        <v>140</v>
      </c>
      <c r="C127" s="12" t="n">
        <v>-248</v>
      </c>
      <c r="D127" s="12" t="n">
        <v>189</v>
      </c>
      <c r="E127" s="11" t="n">
        <v>-45</v>
      </c>
      <c r="F127" s="11" t="n">
        <v>32</v>
      </c>
      <c r="G127" s="11"/>
      <c r="H127" s="11" t="n">
        <v>126</v>
      </c>
      <c r="I127" s="11" t="n">
        <f aca="false">C127/248.3</f>
        <v>-0.998791784132098</v>
      </c>
      <c r="J127" s="11" t="n">
        <f aca="false">D127/315</f>
        <v>0.6</v>
      </c>
      <c r="K127" s="11" t="n">
        <f aca="false">F127/366</f>
        <v>0.087431693989071</v>
      </c>
      <c r="L127" s="2"/>
      <c r="M127" s="5" t="n">
        <v>90</v>
      </c>
      <c r="N127" s="5" t="n">
        <f aca="false">(Q127/PI())*-180</f>
        <v>-0</v>
      </c>
      <c r="O127" s="5"/>
      <c r="P127" s="2" t="n">
        <f aca="false">SQRT(C127^2+D127^2)</f>
        <v>311.809236553377</v>
      </c>
    </row>
    <row r="128" customFormat="false" ht="15.75" hidden="false" customHeight="false" outlineLevel="0" collapsed="false">
      <c r="B128" s="2" t="s">
        <v>141</v>
      </c>
      <c r="C128" s="13" t="n">
        <v>-94</v>
      </c>
      <c r="D128" s="13" t="n">
        <v>-295</v>
      </c>
      <c r="E128" s="2" t="n">
        <v>-45</v>
      </c>
      <c r="F128" s="2" t="n">
        <v>32</v>
      </c>
      <c r="G128" s="2"/>
      <c r="H128" s="11" t="n">
        <v>127</v>
      </c>
      <c r="I128" s="2" t="n">
        <f aca="false">C128/248.3</f>
        <v>-0.378574305275876</v>
      </c>
      <c r="J128" s="2" t="n">
        <f aca="false">D128/315</f>
        <v>-0.936507936507937</v>
      </c>
      <c r="K128" s="0" t="n">
        <f aca="false">F128/366</f>
        <v>0.087431693989071</v>
      </c>
      <c r="L128" s="2"/>
      <c r="M128" s="5" t="n">
        <v>0</v>
      </c>
      <c r="N128" s="5" t="n">
        <f aca="false">(Q128/PI())*-180</f>
        <v>-0</v>
      </c>
      <c r="O128" s="5"/>
      <c r="P128" s="2" t="n">
        <f aca="false">SQRT(C128^2+D128^2)</f>
        <v>309.61427615664</v>
      </c>
    </row>
    <row r="129" customFormat="false" ht="15.75" hidden="false" customHeight="false" outlineLevel="0" collapsed="false">
      <c r="B129" s="2" t="s">
        <v>142</v>
      </c>
      <c r="C129" s="13" t="n">
        <v>-94</v>
      </c>
      <c r="D129" s="13" t="n">
        <v>295</v>
      </c>
      <c r="E129" s="2" t="n">
        <v>-45</v>
      </c>
      <c r="F129" s="2" t="n">
        <v>32</v>
      </c>
      <c r="G129" s="2"/>
      <c r="H129" s="11" t="n">
        <v>128</v>
      </c>
      <c r="I129" s="2" t="n">
        <f aca="false">C129/248.3</f>
        <v>-0.378574305275876</v>
      </c>
      <c r="J129" s="2" t="n">
        <f aca="false">D129/315</f>
        <v>0.936507936507937</v>
      </c>
      <c r="K129" s="0" t="n">
        <f aca="false">F129/366</f>
        <v>0.087431693989071</v>
      </c>
      <c r="L129" s="2"/>
      <c r="M129" s="5" t="n">
        <v>180</v>
      </c>
      <c r="N129" s="5" t="n">
        <f aca="false">(Q129/PI())*-180</f>
        <v>-0</v>
      </c>
      <c r="O129" s="5"/>
      <c r="P129" s="2" t="n">
        <f aca="false">SQRT(C129^2+D129^2)</f>
        <v>309.61427615664</v>
      </c>
    </row>
    <row r="130" customFormat="false" ht="15.75" hidden="false" customHeight="false" outlineLevel="0" collapsed="false">
      <c r="B130" s="2" t="s">
        <v>143</v>
      </c>
      <c r="C130" s="13" t="n">
        <v>126</v>
      </c>
      <c r="D130" s="13" t="n">
        <v>-295</v>
      </c>
      <c r="E130" s="2" t="n">
        <v>-45</v>
      </c>
      <c r="F130" s="2" t="n">
        <v>32</v>
      </c>
      <c r="G130" s="2"/>
      <c r="H130" s="11" t="n">
        <v>129</v>
      </c>
      <c r="I130" s="2" t="n">
        <f aca="false">C130/248.3</f>
        <v>0.507450664518727</v>
      </c>
      <c r="J130" s="2" t="n">
        <f aca="false">D130/315</f>
        <v>-0.936507936507937</v>
      </c>
      <c r="K130" s="0" t="n">
        <f aca="false">F130/366</f>
        <v>0.087431693989071</v>
      </c>
      <c r="L130" s="2"/>
      <c r="M130" s="5" t="n">
        <v>0</v>
      </c>
      <c r="N130" s="5" t="n">
        <f aca="false">(Q130/PI())*-180</f>
        <v>-0</v>
      </c>
      <c r="O130" s="5"/>
      <c r="P130" s="2" t="n">
        <f aca="false">SQRT(C130^2+D130^2)</f>
        <v>320.781857342338</v>
      </c>
    </row>
    <row r="131" customFormat="false" ht="15.75" hidden="false" customHeight="false" outlineLevel="0" collapsed="false">
      <c r="B131" s="2" t="s">
        <v>144</v>
      </c>
      <c r="C131" s="13" t="n">
        <v>126</v>
      </c>
      <c r="D131" s="13" t="n">
        <v>295</v>
      </c>
      <c r="E131" s="2" t="n">
        <v>-45</v>
      </c>
      <c r="F131" s="2" t="n">
        <v>32</v>
      </c>
      <c r="G131" s="2"/>
      <c r="H131" s="11" t="n">
        <v>130</v>
      </c>
      <c r="I131" s="2" t="n">
        <f aca="false">C131/248.3</f>
        <v>0.507450664518727</v>
      </c>
      <c r="J131" s="2" t="n">
        <f aca="false">D131/315</f>
        <v>0.936507936507937</v>
      </c>
      <c r="K131" s="0" t="n">
        <f aca="false">F131/366</f>
        <v>0.087431693989071</v>
      </c>
      <c r="L131" s="2"/>
      <c r="M131" s="5" t="n">
        <v>180</v>
      </c>
      <c r="N131" s="5" t="n">
        <f aca="false">(Q131/PI())*-180</f>
        <v>-0</v>
      </c>
      <c r="O131" s="5"/>
      <c r="P131" s="2" t="n">
        <f aca="false">SQRT(C131^2+D131^2)</f>
        <v>320.781857342338</v>
      </c>
    </row>
    <row r="132" customFormat="false" ht="15.75" hidden="false" customHeight="false" outlineLevel="0" collapsed="false">
      <c r="B132" s="2" t="s">
        <v>145</v>
      </c>
      <c r="C132" s="13" t="n">
        <v>248</v>
      </c>
      <c r="D132" s="13" t="n">
        <v>-161</v>
      </c>
      <c r="E132" s="2" t="n">
        <v>-45</v>
      </c>
      <c r="F132" s="2" t="n">
        <v>32</v>
      </c>
      <c r="G132" s="2"/>
      <c r="H132" s="11" t="n">
        <v>131</v>
      </c>
      <c r="I132" s="2" t="n">
        <f aca="false">C132/248.3</f>
        <v>0.998791784132098</v>
      </c>
      <c r="J132" s="2" t="n">
        <f aca="false">D132/315</f>
        <v>-0.511111111111111</v>
      </c>
      <c r="K132" s="0" t="n">
        <f aca="false">F132/366</f>
        <v>0.087431693989071</v>
      </c>
      <c r="L132" s="2"/>
      <c r="M132" s="5" t="n">
        <v>270</v>
      </c>
      <c r="N132" s="5" t="n">
        <f aca="false">(Q132/PI())*-180</f>
        <v>-0</v>
      </c>
      <c r="O132" s="5"/>
      <c r="P132" s="2" t="n">
        <f aca="false">SQRT(C132^2+D132^2)</f>
        <v>295.67718883945</v>
      </c>
    </row>
    <row r="133" customFormat="false" ht="15.75" hidden="false" customHeight="false" outlineLevel="0" collapsed="false">
      <c r="B133" s="2" t="s">
        <v>146</v>
      </c>
      <c r="C133" s="13" t="n">
        <v>248</v>
      </c>
      <c r="D133" s="13" t="n">
        <v>189</v>
      </c>
      <c r="E133" s="2" t="n">
        <v>-45</v>
      </c>
      <c r="F133" s="2" t="n">
        <v>32</v>
      </c>
      <c r="G133" s="2"/>
      <c r="H133" s="11" t="n">
        <v>132</v>
      </c>
      <c r="I133" s="2" t="n">
        <f aca="false">C133/248.3</f>
        <v>0.998791784132098</v>
      </c>
      <c r="J133" s="2" t="n">
        <f aca="false">D133/315</f>
        <v>0.6</v>
      </c>
      <c r="K133" s="0" t="n">
        <f aca="false">F133/366</f>
        <v>0.087431693989071</v>
      </c>
      <c r="L133" s="2"/>
      <c r="M133" s="5" t="n">
        <v>270</v>
      </c>
      <c r="N133" s="5" t="n">
        <f aca="false">(Q133/PI())*-180</f>
        <v>-0</v>
      </c>
      <c r="O133" s="5"/>
      <c r="P133" s="2" t="n">
        <f aca="false">SQRT(C133^2+D133^2)</f>
        <v>311.809236553377</v>
      </c>
    </row>
    <row r="134" customFormat="false" ht="15.75" hidden="false" customHeight="false" outlineLevel="0" collapsed="false">
      <c r="B134" s="11" t="s">
        <v>147</v>
      </c>
      <c r="C134" s="12" t="n">
        <v>-248</v>
      </c>
      <c r="D134" s="12" t="n">
        <v>0</v>
      </c>
      <c r="E134" s="11" t="n">
        <v>-45</v>
      </c>
      <c r="F134" s="11" t="n">
        <v>32</v>
      </c>
      <c r="G134" s="11"/>
      <c r="H134" s="11" t="n">
        <v>133</v>
      </c>
      <c r="I134" s="11" t="n">
        <f aca="false">C134/248.3</f>
        <v>-0.998791784132098</v>
      </c>
      <c r="J134" s="11" t="n">
        <f aca="false">D134/315</f>
        <v>0</v>
      </c>
      <c r="K134" s="11" t="n">
        <f aca="false">F134/366</f>
        <v>0.087431693989071</v>
      </c>
      <c r="L134" s="2"/>
      <c r="M134" s="5" t="n">
        <v>90</v>
      </c>
      <c r="N134" s="5" t="n">
        <f aca="false">(Q134/PI())*-180</f>
        <v>-0</v>
      </c>
      <c r="O134" s="5"/>
      <c r="P134" s="2" t="n">
        <f aca="false">SQRT(C134^2+D134^2)</f>
        <v>248</v>
      </c>
    </row>
    <row r="135" customFormat="false" ht="15.75" hidden="false" customHeight="false" outlineLevel="0" collapsed="false">
      <c r="B135" s="2" t="s">
        <v>148</v>
      </c>
      <c r="C135" s="13" t="n">
        <v>248</v>
      </c>
      <c r="D135" s="13" t="n">
        <v>0</v>
      </c>
      <c r="E135" s="2" t="n">
        <v>-45</v>
      </c>
      <c r="F135" s="2" t="n">
        <v>32</v>
      </c>
      <c r="G135" s="2"/>
      <c r="H135" s="11" t="n">
        <v>134</v>
      </c>
      <c r="I135" s="2" t="n">
        <f aca="false">C135/248.3</f>
        <v>0.998791784132098</v>
      </c>
      <c r="J135" s="2" t="n">
        <f aca="false">D135/315</f>
        <v>0</v>
      </c>
      <c r="K135" s="0" t="n">
        <f aca="false">F135/366</f>
        <v>0.087431693989071</v>
      </c>
      <c r="L135" s="2"/>
      <c r="M135" s="5" t="n">
        <v>270</v>
      </c>
      <c r="N135" s="5" t="n">
        <f aca="false">(Q135/PI())*-180</f>
        <v>-0</v>
      </c>
      <c r="O135" s="5"/>
      <c r="P135" s="2" t="n">
        <f aca="false">SQRT(C135^2+D135^2)</f>
        <v>248</v>
      </c>
    </row>
    <row r="136" customFormat="false" ht="15.75" hidden="false" customHeight="false" outlineLevel="0" collapsed="false">
      <c r="A136" s="2" t="s">
        <v>149</v>
      </c>
      <c r="B136" s="2" t="s">
        <v>150</v>
      </c>
      <c r="C136" s="13" t="n">
        <v>-200</v>
      </c>
      <c r="D136" s="13" t="n">
        <v>-269</v>
      </c>
      <c r="F136" s="2" t="n">
        <v>12</v>
      </c>
    </row>
    <row r="137" customFormat="false" ht="15.75" hidden="false" customHeight="false" outlineLevel="0" collapsed="false">
      <c r="B137" s="2" t="s">
        <v>151</v>
      </c>
      <c r="C137" s="2" t="n">
        <v>-200</v>
      </c>
      <c r="D137" s="2" t="n">
        <v>269</v>
      </c>
      <c r="F137" s="2" t="n">
        <v>12</v>
      </c>
    </row>
    <row r="138" customFormat="false" ht="15.75" hidden="false" customHeight="true" outlineLevel="0" collapsed="false">
      <c r="A138" s="0" t="s">
        <v>152</v>
      </c>
      <c r="B138" s="0" t="s">
        <v>153</v>
      </c>
      <c r="C138" s="0" t="n">
        <f aca="false">-142/2</f>
        <v>-71</v>
      </c>
      <c r="D138" s="0" t="n">
        <f aca="false">58.5/2</f>
        <v>29.25</v>
      </c>
      <c r="F138" s="0" t="n">
        <f aca="false">12*30</f>
        <v>360</v>
      </c>
      <c r="H138" s="14" t="n">
        <v>135</v>
      </c>
      <c r="I138" s="2" t="n">
        <f aca="false">C138/248.3</f>
        <v>-0.285944422070077</v>
      </c>
      <c r="J138" s="2" t="n">
        <f aca="false">D138/315</f>
        <v>0.0928571428571429</v>
      </c>
      <c r="K138" s="0" t="n">
        <f aca="false">F138/366</f>
        <v>0.983606557377049</v>
      </c>
    </row>
    <row r="139" customFormat="false" ht="15.75" hidden="false" customHeight="true" outlineLevel="0" collapsed="false">
      <c r="B139" s="0" t="s">
        <v>154</v>
      </c>
      <c r="C139" s="0" t="n">
        <v>-71</v>
      </c>
      <c r="D139" s="0" t="n">
        <f aca="false">-58.5/2</f>
        <v>-29.25</v>
      </c>
      <c r="F139" s="0" t="n">
        <f aca="false">12*30</f>
        <v>360</v>
      </c>
      <c r="H139" s="14" t="n">
        <v>136</v>
      </c>
      <c r="I139" s="2" t="n">
        <f aca="false">C139/248.3</f>
        <v>-0.285944422070077</v>
      </c>
      <c r="J139" s="15" t="n">
        <f aca="false">D139/315</f>
        <v>-0.0928571428571429</v>
      </c>
      <c r="K139" s="0" t="n">
        <f aca="false">F139/366</f>
        <v>0.983606557377049</v>
      </c>
    </row>
    <row r="140" customFormat="false" ht="15.75" hidden="false" customHeight="true" outlineLevel="0" collapsed="false">
      <c r="B140" s="0" t="s">
        <v>155</v>
      </c>
      <c r="C140" s="0" t="n">
        <v>-30</v>
      </c>
      <c r="D140" s="0" t="n">
        <f aca="false">-141/2</f>
        <v>-70.5</v>
      </c>
      <c r="F140" s="0" t="n">
        <f aca="false">12*30</f>
        <v>360</v>
      </c>
      <c r="H140" s="14" t="n">
        <v>137</v>
      </c>
      <c r="I140" s="2" t="n">
        <f aca="false">C140/248.3</f>
        <v>-0.120821586790173</v>
      </c>
      <c r="J140" s="15" t="n">
        <f aca="false">D140/315</f>
        <v>-0.223809523809524</v>
      </c>
      <c r="K140" s="0" t="n">
        <f aca="false">F140/366</f>
        <v>0.983606557377049</v>
      </c>
    </row>
    <row r="141" customFormat="false" ht="15.75" hidden="false" customHeight="true" outlineLevel="0" collapsed="false">
      <c r="B141" s="0" t="s">
        <v>156</v>
      </c>
      <c r="C141" s="0" t="n">
        <v>30</v>
      </c>
      <c r="D141" s="0" t="n">
        <f aca="false">-141/2</f>
        <v>-70.5</v>
      </c>
      <c r="F141" s="0" t="n">
        <f aca="false">12*30</f>
        <v>360</v>
      </c>
      <c r="H141" s="14" t="n">
        <v>138</v>
      </c>
      <c r="I141" s="2" t="n">
        <f aca="false">C141/248.3</f>
        <v>0.120821586790173</v>
      </c>
      <c r="J141" s="15" t="n">
        <f aca="false">D141/315</f>
        <v>-0.223809523809524</v>
      </c>
      <c r="K141" s="0" t="n">
        <f aca="false">F141/366</f>
        <v>0.983606557377049</v>
      </c>
    </row>
    <row r="142" customFormat="false" ht="15.75" hidden="false" customHeight="true" outlineLevel="0" collapsed="false">
      <c r="B142" s="0" t="s">
        <v>157</v>
      </c>
      <c r="C142" s="0" t="n">
        <v>71</v>
      </c>
      <c r="D142" s="0" t="n">
        <f aca="false">-58.5/2</f>
        <v>-29.25</v>
      </c>
      <c r="F142" s="0" t="n">
        <f aca="false">12*30</f>
        <v>360</v>
      </c>
      <c r="H142" s="14" t="n">
        <v>139</v>
      </c>
      <c r="I142" s="2" t="n">
        <f aca="false">C142/248.3</f>
        <v>0.285944422070077</v>
      </c>
      <c r="J142" s="15" t="n">
        <f aca="false">D142/315</f>
        <v>-0.0928571428571429</v>
      </c>
      <c r="K142" s="15" t="n">
        <f aca="false">F142/366</f>
        <v>0.983606557377049</v>
      </c>
    </row>
    <row r="143" customFormat="false" ht="12.8" hidden="false" customHeight="false" outlineLevel="0" collapsed="false">
      <c r="B143" s="0" t="s">
        <v>158</v>
      </c>
      <c r="C143" s="0" t="n">
        <v>71</v>
      </c>
      <c r="D143" s="0" t="n">
        <f aca="false">58.5/2</f>
        <v>29.25</v>
      </c>
      <c r="E143" s="13" t="n">
        <v>-45</v>
      </c>
      <c r="F143" s="0" t="n">
        <f aca="false">12*30</f>
        <v>360</v>
      </c>
      <c r="H143" s="14" t="n">
        <v>140</v>
      </c>
      <c r="I143" s="2" t="n">
        <f aca="false">C143/248.3</f>
        <v>0.285944422070077</v>
      </c>
      <c r="J143" s="15" t="n">
        <f aca="false">D143/315</f>
        <v>0.0928571428571429</v>
      </c>
      <c r="K143" s="0" t="n">
        <f aca="false">F143/366</f>
        <v>0.983606557377049</v>
      </c>
    </row>
    <row r="144" customFormat="false" ht="12.8" hidden="false" customHeight="false" outlineLevel="0" collapsed="false">
      <c r="B144" s="0" t="s">
        <v>159</v>
      </c>
      <c r="C144" s="0" t="n">
        <v>30</v>
      </c>
      <c r="D144" s="0" t="n">
        <f aca="false">141/2</f>
        <v>70.5</v>
      </c>
      <c r="E144" s="13" t="n">
        <v>-45</v>
      </c>
      <c r="F144" s="0" t="n">
        <f aca="false">12*30</f>
        <v>360</v>
      </c>
      <c r="H144" s="14" t="n">
        <v>141</v>
      </c>
      <c r="I144" s="2" t="n">
        <f aca="false">C144/248.3</f>
        <v>0.120821586790173</v>
      </c>
      <c r="J144" s="15" t="n">
        <f aca="false">D144/315</f>
        <v>0.223809523809524</v>
      </c>
      <c r="K144" s="0" t="n">
        <f aca="false">F144/366</f>
        <v>0.983606557377049</v>
      </c>
    </row>
    <row r="145" customFormat="false" ht="12.8" hidden="false" customHeight="false" outlineLevel="0" collapsed="false">
      <c r="B145" s="0" t="s">
        <v>160</v>
      </c>
      <c r="C145" s="0" t="n">
        <v>-30</v>
      </c>
      <c r="D145" s="0" t="n">
        <f aca="false">141/2</f>
        <v>70.5</v>
      </c>
      <c r="E145" s="13" t="n">
        <v>-45</v>
      </c>
      <c r="F145" s="0" t="n">
        <f aca="false">12*30</f>
        <v>360</v>
      </c>
      <c r="H145" s="14" t="n">
        <v>142</v>
      </c>
      <c r="I145" s="2" t="n">
        <f aca="false">C145/248.3</f>
        <v>-0.120821586790173</v>
      </c>
      <c r="J145" s="15" t="n">
        <f aca="false">D145/315</f>
        <v>0.223809523809524</v>
      </c>
      <c r="K145" s="0" t="n">
        <f aca="false">F145/366</f>
        <v>0.983606557377049</v>
      </c>
    </row>
    <row r="146" customFormat="false" ht="15.75" hidden="false" customHeight="false" outlineLevel="0" collapsed="false">
      <c r="E146" s="13" t="n">
        <v>-45</v>
      </c>
      <c r="J146" s="2"/>
    </row>
    <row r="147" customFormat="false" ht="15.75" hidden="false" customHeight="false" outlineLevel="0" collapsed="false">
      <c r="E147" s="13" t="n">
        <v>-45</v>
      </c>
    </row>
    <row r="148" customFormat="false" ht="15.75" hidden="false" customHeight="false" outlineLevel="0" collapsed="false">
      <c r="E148" s="13" t="n">
        <v>-45</v>
      </c>
    </row>
    <row r="149" customFormat="false" ht="15.75" hidden="false" customHeight="false" outlineLevel="0" collapsed="false">
      <c r="E149" s="13" t="n">
        <v>-45</v>
      </c>
    </row>
    <row r="150" customFormat="false" ht="12.75" hidden="false" customHeight="false" outlineLevel="0" collapsed="false">
      <c r="E150" s="13" t="n">
        <v>-45</v>
      </c>
    </row>
    <row r="151" customFormat="false" ht="12.75" hidden="false" customHeight="false" outlineLevel="0" collapsed="false">
      <c r="E151" s="13" t="n">
        <v>-45</v>
      </c>
    </row>
    <row r="152" customFormat="false" ht="12.75" hidden="false" customHeight="false" outlineLevel="0" collapsed="false">
      <c r="E152" s="13" t="n">
        <v>-45</v>
      </c>
    </row>
    <row r="153" customFormat="false" ht="12.75" hidden="false" customHeight="false" outlineLevel="0" collapsed="false">
      <c r="E153" s="13" t="n">
        <v>-55</v>
      </c>
    </row>
    <row r="1048576" customFormat="false" ht="15.75" hidden="false" customHeight="true" outlineLevel="0" collapsed="false">
      <c r="F1048576" s="0" t="n">
        <f aca="false">12*8</f>
        <v>96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LibreOffice/26.2.4.2$Linux_X86_64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2026-06-12T12:26:08Z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